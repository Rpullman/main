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065" windowWidth="20730" windowHeight="11760" tabRatio="818"/>
  </bookViews>
  <sheets>
    <sheet name="Inputs" sheetId="4" r:id="rId1"/>
    <sheet name="Config" sheetId="1" r:id="rId2"/>
    <sheet name="LoCS" sheetId="8" state="hidden" r:id="rId3"/>
    <sheet name="Lights" sheetId="24" state="hidden" r:id="rId4"/>
    <sheet name="Order Acknowledgment Form" sheetId="19" state="hidden" r:id="rId5"/>
    <sheet name="Sheet1" sheetId="2" state="hidden" r:id="rId6"/>
    <sheet name="2013 Belmont Retail Pricing" sheetId="3" state="hidden" r:id="rId7"/>
    <sheet name="Lists of Products and Options" sheetId="5" state="hidden" r:id="rId8"/>
    <sheet name="Customer Purchase Order" sheetId="23" state="hidden" r:id="rId9"/>
    <sheet name="Vinyl" sheetId="6" state="hidden" r:id="rId10"/>
    <sheet name="Units Inter-Compatbility" sheetId="25" state="hidden" r:id="rId11"/>
    <sheet name="Sheet4" sheetId="9" state="hidden" r:id="rId12"/>
    <sheet name="Cabinetry Colors" sheetId="10" state="hidden" r:id="rId13"/>
    <sheet name="Cabinet UAT" sheetId="14" state="hidden" r:id="rId14"/>
    <sheet name="Custom Steri Center" sheetId="11" state="hidden" r:id="rId15"/>
    <sheet name="Chair UAT" sheetId="12" state="hidden" r:id="rId16"/>
    <sheet name="Light UAT" sheetId="13" state="hidden" r:id="rId17"/>
    <sheet name="Stools UAT" sheetId="15" state="hidden" r:id="rId18"/>
    <sheet name="Intra-Oral X-Ray UAT" sheetId="16" state="hidden" r:id="rId19"/>
    <sheet name="Extra-Oral and Digital X-Ray UA" sheetId="17" state="hidden" r:id="rId20"/>
    <sheet name="Parts UAT" sheetId="18" state="hidden" r:id="rId21"/>
    <sheet name="Sheet3" sheetId="21" state="hidden" r:id="rId22"/>
    <sheet name="Sheet2" sheetId="26" state="hidden" r:id="rId23"/>
    <sheet name="Sheet5" sheetId="27" state="hidden" r:id="rId24"/>
    <sheet name="Units" sheetId="28" state="hidden" r:id="rId25"/>
  </sheets>
  <functionGroups builtInGroupCount="17"/>
  <definedNames>
    <definedName name="___">Config!$E$26</definedName>
    <definedName name="_1__">LoCS!$V$20:$V$21</definedName>
    <definedName name="_1_1">LoCS!$W$20:$W$21</definedName>
    <definedName name="_37N">LoCS!$J$2:$J$3</definedName>
    <definedName name="_37ND">LoCS!$Q$20:$Q$20</definedName>
    <definedName name="_37NOptionsPart">'Lists of Products and Options'!$AG$3:$AG$5</definedName>
    <definedName name="_37NU">LoCS!$R$20:$R$20</definedName>
    <definedName name="_8_OptionsPart">'Lists of Products and Options'!$AS$3</definedName>
    <definedName name="_81">LoCS!$S$20:$S$21</definedName>
    <definedName name="_81OptionsPart">'Lists of Products and Options'!$AW$3</definedName>
    <definedName name="_9_OptionsPart">'Lists of Products and Options'!$AK$3</definedName>
    <definedName name="_97WK2_OptionsPart">'Lists of Products and Options'!$CT$3:$CT$9</definedName>
    <definedName name="_97WKGROptionsPart">'Lists of Products and Options'!$CX$3:$CX$9</definedName>
    <definedName name="_97WKR2OptionsPart">'Lists of Products and Options'!$CP$3:$CP$9</definedName>
    <definedName name="_9ROptionsPart">'Lists of Products and Options'!$AO$3</definedName>
    <definedName name="_xlnm._FilterDatabase" localSheetId="6" hidden="1">'2013 Belmont Retail Pricing'!$A$3:$I$768</definedName>
    <definedName name="AL_511T">Lights!$AM$5:$AM$59</definedName>
    <definedName name="AL_511TOptionsPart">'Lists of Products and Options'!$GD$3:$GD$11</definedName>
    <definedName name="AL_512T">Lights!$AN$5:$AN$5</definedName>
    <definedName name="AL_512TOptionsPart">'Lists of Products and Options'!$GH$3:$GH$11</definedName>
    <definedName name="AL_515T">Lights!$AO$5:$AO$5</definedName>
    <definedName name="AL_515TOptionsPart">'Lists of Products and Options'!$GL$3:$GL$11</definedName>
    <definedName name="AL_517N">Lights!$AP$5:$AP$40</definedName>
    <definedName name="AL_517NOptionsPart">'Lists of Products and Options'!$GP$3:$GP$11</definedName>
    <definedName name="AL_518T">Lights!$AQ$5:$AQ$5</definedName>
    <definedName name="AL_518TOptionsPart">'Lists of Products and Options'!$GT$3:$GT$11</definedName>
    <definedName name="AL_711M">Lights!$AT$5:$AT$59</definedName>
    <definedName name="AL_711MOptionsPart">'Lists of Products and Options'!$HF$3:$HF$7</definedName>
    <definedName name="AL_712M">Lights!$AU$5:$AU$5</definedName>
    <definedName name="AL_712MOptionsPart">'Lists of Products and Options'!$HJ$3:$HJ$7</definedName>
    <definedName name="AL_715M">Lights!$AV$5:$AV$5</definedName>
    <definedName name="AL_715MOptionsPart">'Lists of Products and Options'!$HN$3:$HN$7</definedName>
    <definedName name="AL_901">Lights!$AD$5:$AD$24</definedName>
    <definedName name="AL_901OptionsPart">'Lists of Products and Options'!$ET$3:$ET$11</definedName>
    <definedName name="AL_901R">Lights!$AE$5:$AE$24</definedName>
    <definedName name="al_901ROptionsPart">'Lists of Products and Options'!$EX$3:$EX$11</definedName>
    <definedName name="AL_902">Lights!$AF$5</definedName>
    <definedName name="AL_902OptionsPart">'Lists of Products and Options'!$FB$3:$FB$11</definedName>
    <definedName name="AL_905">Lights!$AG$5:$AG$5</definedName>
    <definedName name="AL_905OptionsPart">'Lists of Products and Options'!$FF$3:$FF$11</definedName>
    <definedName name="AL_907">Lights!$AH$5:$AH$41</definedName>
    <definedName name="AL_907OptionsPart">'Lists of Products and Options'!$FJ$3:$FJ$11</definedName>
    <definedName name="AL_908">Lights!$AI$5:$AI$41</definedName>
    <definedName name="AL_908OptionsPart">'Lists of Products and Options'!$FN$3:$FN$11</definedName>
    <definedName name="B_20n">LoCS!$B$2:$B$6</definedName>
    <definedName name="B_20NOptionsPart">'Lists of Products and Options'!$AC$3:$AC$9</definedName>
    <definedName name="B_50">LoCS!$F$2:$F$9</definedName>
    <definedName name="b_50OptionsPart">'Lists of Products and Options'!$Y$3:$Y$8</definedName>
    <definedName name="B20n">LoCS!$B$2:$B$6</definedName>
    <definedName name="BDS_2500" localSheetId="24">Units!$V$6:$V$9</definedName>
    <definedName name="BDS_2500">'Lists of Products and Options'!$O$3:$O$66</definedName>
    <definedName name="BDS_2500OptionsPart">'Lists of Products and Options'!$TP$3:$TP$17</definedName>
    <definedName name="BDS_2505">Units!$W$6:$W$9</definedName>
    <definedName name="BDS_2505OptionsPart">'Lists of Products and Options'!$TT$3:$TT$17</definedName>
    <definedName name="BDS_2510">Units!$X$6:$X$25</definedName>
    <definedName name="BDS_2510OptionsPart">'Lists of Products and Options'!$TX$3:$TX$17</definedName>
    <definedName name="BDS_2515">Units!$Y$6:$Y$9</definedName>
    <definedName name="BDS_2515OptionsPart">'Lists of Products and Options'!$UB$3:$UB$17</definedName>
    <definedName name="BDS_2520">Units!$Z$6:$Z$9</definedName>
    <definedName name="BDS_2530">Lights!$AR$5:$AR$21</definedName>
    <definedName name="BDS_2530OptionsPart">'Lists of Products and Options'!$GX$3:$GX$11</definedName>
    <definedName name="BDS_2532">Lights!$AJ$5:$AJ$21</definedName>
    <definedName name="BDS_2532OptionsPart">'Lists of Products and Options'!$FR$3:$FR$11</definedName>
    <definedName name="BDS_2535">Lights!$AS$5:$AS$38</definedName>
    <definedName name="BDS_2535OptionsPart">'Lists of Products and Options'!$HB$3:$HB$11</definedName>
    <definedName name="BDS_2536">Lights!$AK$5:$AK$9</definedName>
    <definedName name="BDS_2536OptionsPart">'Lists of Products and Options'!$FV$3:$FV$11</definedName>
    <definedName name="BDS_2541">Units!$AA$6</definedName>
    <definedName name="BDS_2541OptionsPart">'Lists of Products and Options'!$VT$3:$VT$14</definedName>
    <definedName name="BDS_2543">Units!$AB$6</definedName>
    <definedName name="BDS_2543OptionsPart">'Lists of Products and Options'!$VX$3:$VX$11</definedName>
    <definedName name="BDS_2555">Units!$AC$6:$AC$11</definedName>
    <definedName name="BDS_2555OptionsPart">'Lists of Products and Options'!$WB$3:$WB$10</definedName>
    <definedName name="BDS_2561">Units!$AD$6:$AD$25</definedName>
    <definedName name="BDS_2561OptionsPart">'Lists of Products and Options'!$WF$3:$WF$6</definedName>
    <definedName name="BDS_2563">Units!$AE$6:$AE$25</definedName>
    <definedName name="BDS_2563OptionsPart">'Lists of Products and Options'!$WJ$3:$WJ$4</definedName>
    <definedName name="BDS_2564">Units!$AF$6:$AF$25</definedName>
    <definedName name="BDS_2564OptionsPart">'Lists of Products and Options'!$WN$3:$WN$5</definedName>
    <definedName name="BDS_2570">Units!$AH$6:$AH$8</definedName>
    <definedName name="BDS_2571">Units!$AG$6:$AG$25</definedName>
    <definedName name="BDS_2571OptionsPart">'Lists of Products and Options'!$WR$3:$WR$5</definedName>
    <definedName name="BDS_2572">Units!$AI$6:$AI$8</definedName>
    <definedName name="BDS_2575">Units!$AJ$6:$AJ$8</definedName>
    <definedName name="Bel_CatCMOptionsPart">'Lists of Products and Options'!$BR$3</definedName>
    <definedName name="Bel_CatOptionsPart">'Lists of Products and Options'!$BI$3</definedName>
    <definedName name="Bel_CatPAOptionsPart">'Lists of Products and Options'!$BM$3</definedName>
    <definedName name="Bel_MaxCMOptionsPart">'Lists of Products and Options'!$BV$3:$BV$6</definedName>
    <definedName name="Both">Vinyl!$H$1:$H$2</definedName>
    <definedName name="BSEN_XV20OptionsPart">'Lists of Products and Options'!$DN$3:$DN$10</definedName>
    <definedName name="BSEN_XVLIC10OptionsPart">'Lists of Products and Options'!$DJ$3:$DJ$12</definedName>
    <definedName name="BSEN_XVLIC5OptionsPart">'Lists of Products and Options'!$DF$3:$DF$12</definedName>
    <definedName name="BSEN_XVLITEALOptionsPart">'Lists of Products and Options'!$DR$3:$DR$12</definedName>
    <definedName name="BSEN_XVOptionsPart">'Lists of Products and Options'!$DB$3:$DB$12</definedName>
    <definedName name="BSEN_XVPRODICOMOptionsPart">'Lists of Products and Options'!$DZ$3:$DZ$13</definedName>
    <definedName name="BSEN_XVPROLIC10OptionsPart">'Lists of Products and Options'!$EL$3:$EL$13</definedName>
    <definedName name="BSEN_XVPROLIC20OptionsPart">'Lists of Products and Options'!$EP$3:$EP$13</definedName>
    <definedName name="BSEN_XVPROLIC5OptionsPART">'Lists of Products and Options'!$EH$3:$EH$13</definedName>
    <definedName name="BSEN_XVPROLICOptionsPart">'Lists of Products and Options'!$ED$3:$ED$13</definedName>
    <definedName name="BSEN_XVPROOptionsPart">'Lists of Products and Options'!$DV$3:$DV$13</definedName>
    <definedName name="cabinet">'Lists of Products and Options'!$G$2:$G$180</definedName>
    <definedName name="cabinetpvc">'Cabinetry Colors'!$B$2:$B$6</definedName>
    <definedName name="Cabinetry">'Lists of Products and Options'!$G$2:$G$111</definedName>
    <definedName name="CabinetryColors">'Cabinetry Colors'!$A$2:$A$14</definedName>
    <definedName name="Cambria">'Cabinetry Colors'!$E$2:$E$16</definedName>
    <definedName name="Chairs">'Lists of Products and Options'!$I$2:$I$5</definedName>
    <definedName name="Custom">'Cabinetry Colors'!$A$14</definedName>
    <definedName name="D_1_RSOptionsPart">'Lists of Products and Options'!$LR$3:$LR$16</definedName>
    <definedName name="D_2LOptionsPart">'Lists of Products and Options'!$LZ$3:$LZ$7</definedName>
    <definedName name="D_2OptionsPart">'Lists of Products and Options'!$LV$3:$LV$5</definedName>
    <definedName name="D_2UOptionsPart">'Lists of Products and Options'!$MD$3:$MD$5</definedName>
    <definedName name="D_3_LSOptionsPart">'Lists of Products and Options'!$ML$3:$ML$14</definedName>
    <definedName name="D_3_RSOptionsPart">'Lists of Products and Options'!$MH$3:$MH$14</definedName>
    <definedName name="D_42OptionsPart">'Lists of Products and Options'!$PH$3:$PH$4</definedName>
    <definedName name="D_4ROptionsPart">'Lists of Products and Options'!$MP$3:$MP$22</definedName>
    <definedName name="D_5CM_OptionsPart">'Lists of Products and Options'!$NL$3:$NL$13</definedName>
    <definedName name="D_5CMOptionsPart">'Lists of Products and Options'!$NH$3:$NH$13</definedName>
    <definedName name="D_5CMOptionsParty">'Lists of Products and Options'!$NH$3:$NH$13</definedName>
    <definedName name="D_66CM2_LOptionsPart">'Lists of Products and Options'!$NX$3:$NX$17</definedName>
    <definedName name="D_66CM2OptionsPart">'Lists of Products and Options'!$NP$3:$NP$20</definedName>
    <definedName name="D_66CM3_53OptionsPart">'Lists of Products and Options'!$OF$3:$OF$7</definedName>
    <definedName name="D_66CM3_DSOptionsPart">'Lists of Products and Options'!$OJ$3:$OJ$9</definedName>
    <definedName name="D_66CM3_LOptionsPart">'Lists of Products and Options'!$OB$3:$OB$18</definedName>
    <definedName name="D_66CM3_LSOptionsPart">'Lists of Products and Options'!$ON$3:$ON$16</definedName>
    <definedName name="D_66CM3_RSOptionsPart">'Lists of Products and Options'!$OR$3:$OR$16</definedName>
    <definedName name="D_66CM3OptionsPart">'Lists of Products and Options'!$NT$3:$NT$20</definedName>
    <definedName name="D_66CMGOptionsPart">'Lists of Products and Options'!$NP$3:$NP$9</definedName>
    <definedName name="D_8OptionsPart">'Lists of Products and Options'!$OV$3:$OV$13</definedName>
    <definedName name="D_96OptionsPart">'Lists of Products and Options'!$PD$3:$PD$13</definedName>
    <definedName name="D_9OptionsPart">'Lists of Products and Options'!$OZ$3:$OZ$4</definedName>
    <definedName name="DU">Vinyl!$G$1:$G$2</definedName>
    <definedName name="Duration">Vinyl!$B$1:$B$17</definedName>
    <definedName name="E">'Lists of Products and Options'!$LF$3:$LF$4</definedName>
    <definedName name="E_1_LSOptionsPart">'Lists of Products and Options'!$HV$3:$HV$17</definedName>
    <definedName name="E_1_RSOptionsPart">'Lists of Products and Options'!$HR$3:$HR$17</definedName>
    <definedName name="E_120OptionsPart">'Lists of Products and Options'!$LJ$3:$LJ$14</definedName>
    <definedName name="E_155OptionsPart">'Lists of Products and Options'!$LN$3:$LN$18</definedName>
    <definedName name="E_2LOptionsPart">'Lists of Products and Options'!$ID$3:$ID$9</definedName>
    <definedName name="E_2OptionsPart">'Lists of Products and Options'!$HZ$3:$HZ$8</definedName>
    <definedName name="E_2UOptionsPart">'Lists of Products and Options'!$IH$3:$IH$6</definedName>
    <definedName name="E_3_LSOptionsPart">'Lists of Products and Options'!$IT$3:$IT$14</definedName>
    <definedName name="E_3_RSOptionsPart">'Lists of Products and Options'!$IL$3:$IL$14</definedName>
    <definedName name="E_3C_LSOptionsPart">'Lists of Products and Options'!$IX$3:$IX$14</definedName>
    <definedName name="E_3C_RSOptionsPart">'Lists of Products and Options'!$IP$3:$IP$14</definedName>
    <definedName name="E_3CM_LSOptionsPart">'Lists of Products and Options'!$JJ$3:$JJ$14</definedName>
    <definedName name="E_3CM_RSOptionsPart">'Lists of Products and Options'!$JB$3:$JB$14</definedName>
    <definedName name="E_3CMC_LSOptionsPart">'Lists of Products and Options'!$JN$3:$JN$14</definedName>
    <definedName name="E_3CMC_RSOptionsPart">'Lists of Products and Options'!$JF$3:$JF$14</definedName>
    <definedName name="E_4OptionsPart">'Lists of Products and Options'!$JR$3:$JR$39</definedName>
    <definedName name="E_6LOptionsPart">'Lists of Products and Options'!$KH$3:$KH$36</definedName>
    <definedName name="E_6OptionsPart">'Lists of Products and Options'!$KD$3:$KD$36</definedName>
    <definedName name="E_7_DSOptionsPart">'Lists of Products and Options'!$KL$3:$KL$18</definedName>
    <definedName name="E_7_LSOptionsPart">'Lists of Products and Options'!$KP$3:$KP$18</definedName>
    <definedName name="E_7_RSOptionsPart">'Lists of Products and Options'!$KT$3:$KT$18</definedName>
    <definedName name="E_7OptionsPart">'Lists of Products and Options'!$KX$3:$KX$13</definedName>
    <definedName name="E_8OptionsPart">'Lists of Products and Options'!$LB$3:$LB$13</definedName>
    <definedName name="E_9OptionsPart">'Lists of Products and Options'!$LF$3:$LF$4</definedName>
    <definedName name="ECO_1_LSOptionsPart">'Lists of Products and Options'!$PP$3:$PP$10</definedName>
    <definedName name="ECO_1_RSOptionsPart">'Lists of Products and Options'!$PL$3:$PL$10</definedName>
    <definedName name="ECO_2LOptionsPart">'Lists of Products and Options'!$PT$3</definedName>
    <definedName name="ECO_3_LSOptionsPart">'Lists of Products and Options'!$QB$3:$QB$10</definedName>
    <definedName name="ECO_3_RSOptionsPart">'Lists of Products and Options'!$PX$3:$PX$10</definedName>
    <definedName name="ECO_6_LOptionsPart">'Lists of Products and Options'!$QJ$3:$QJ$17</definedName>
    <definedName name="ECO_6OptionsPart">'Lists of Products and Options'!$QF$3:$QF$17</definedName>
    <definedName name="ECO_9F2BOptionsPart">'Lists of Products and Options'!$QR$3</definedName>
    <definedName name="ECO_9OptionsPart">'Lists of Products and Options'!$QN$3</definedName>
    <definedName name="EDS_0500">Units!$AK$6:$AK$9</definedName>
    <definedName name="EDS_0500OptionsPart">'Lists of Products and Options'!$WV$3:$WV$10</definedName>
    <definedName name="EDS_0501">Units!$AL$6:$AL$9</definedName>
    <definedName name="EDS_0501OptionsPart">'Lists of Products and Options'!$WZ$3:$WZ$9</definedName>
    <definedName name="EDS_0502">Units!$AM$6:$AM$9</definedName>
    <definedName name="EDS_0502OptionsPart">'Lists of Products and Options'!$XD$3:$XD$10</definedName>
    <definedName name="EDS_0510">Units!$AN$6:$AN$9</definedName>
    <definedName name="EDS_0510OptionsPart">'Lists of Products and Options'!$XH$3:$XH$9</definedName>
    <definedName name="EDS_0512">Units!$AO$6:$AO$9</definedName>
    <definedName name="EDS_0512OptionsPart">'Lists of Products and Options'!$XL$3:$XL$9</definedName>
    <definedName name="EDS_0520">Units!$AP$6:$AP$9</definedName>
    <definedName name="EDS_0520OptionsPart">'Lists of Products and Options'!$XP$3:$XP$7</definedName>
    <definedName name="EDS_0522">Units!$AQ$6:$AQ$9</definedName>
    <definedName name="EDS_0522OptionsPart">'Lists of Products and Options'!$XT$3:$XT$7</definedName>
    <definedName name="EDS_0570">Units!$BD$6:$BD$7</definedName>
    <definedName name="EDS_0570OptionsPart">'Lists of Products and Options'!$XX$3:$XX$8</definedName>
    <definedName name="EDS_0575">Units!$BE$6:$BE$7</definedName>
    <definedName name="EDS_0575OptionsPart">'Lists of Products and Options'!$YB$3:$YB$8</definedName>
    <definedName name="EDS_0579">Units!$BF$6:$BF$7</definedName>
    <definedName name="EDS_0579OptionsPart">'Lists of Products and Options'!$YF$3:$YF$10</definedName>
    <definedName name="EDS_0604">Units!$AR$6:$AR$9</definedName>
    <definedName name="EDS_0605">Units!$AS$6:$AS$9</definedName>
    <definedName name="EDS_0606">Units!$AT$6:$AT$9</definedName>
    <definedName name="EDS_0610">Units!$AU$6:$AU$9</definedName>
    <definedName name="EDS_0610OptionsPart">'Lists of Products and Options'!$ZD$3:$ZD$7</definedName>
    <definedName name="EDS_0612">Units!$AV$6:$AV$9</definedName>
    <definedName name="EDS_0612OptionsPart">'Lists of Products and Options'!$ZH$3:$ZH$7</definedName>
    <definedName name="EDS_0620">Units!$BB$6:$BB$7</definedName>
    <definedName name="EDS_0650">Units!$BC$6:$BC$7</definedName>
    <definedName name="EDS_0650OptionsPart">'Lists of Products and Options'!$YN$3:$YN$6</definedName>
    <definedName name="EDS_0670">Units!$BG$6:$BG$7</definedName>
    <definedName name="EDS_0670OptionsPart">'Lists of Products and Options'!$ZL$3:$ZL$7</definedName>
    <definedName name="EDS_0675">Units!$BH$6:$BH$7</definedName>
    <definedName name="EDS_0675OptionsPart">'Lists of Products and Options'!$ZP$3:$ZP$7</definedName>
    <definedName name="EDS_0679">Units!$BI$6:$BI$7</definedName>
    <definedName name="EDS_0679OptionsPart">'Lists of Products and Options'!$ZT$3:$ZT$9</definedName>
    <definedName name="EDS_0700">Units!$AW$6:$AW$9</definedName>
    <definedName name="EDS_0700OptionsPart">'Lists of Products and Options'!$ZX$3:$ZX$7</definedName>
    <definedName name="EDS_0701">Units!$AX$6:$AX$9</definedName>
    <definedName name="EDS_0701OptionsPart">'Lists of Products and Options'!$AAB$3:$AAB$6</definedName>
    <definedName name="EDS_0702">Units!$AY$6:$AY$9</definedName>
    <definedName name="EDS_0702OptionsPart">'Lists of Products and Options'!$AAF$3:$AAF$7</definedName>
    <definedName name="EDS_0710">Units!$AZ$6:$AZ$9</definedName>
    <definedName name="EDS_0710OptionsPart">'Lists of Products and Options'!$AAJ$3:$AAJ$6</definedName>
    <definedName name="EDS_0712">Units!$BA$6:$BA$9</definedName>
    <definedName name="EDS_0712OptionsPart">'Lists of Products and Options'!$AAN$3:$AAN$6</definedName>
    <definedName name="EDS_0770">Units!$BJ$6:$BJ$7</definedName>
    <definedName name="EDS_0770OptionsPart">'Lists of Products and Options'!$AAR$3:$AAR$5</definedName>
    <definedName name="EDS_0775">Units!$BK$6:$BK$7</definedName>
    <definedName name="EDS_0775OptionsPart">'Lists of Products and Options'!$AAV$3:$AAV$5</definedName>
    <definedName name="EDS_0779">Units!$BL$6:$BL$7</definedName>
    <definedName name="EDS_0779OptionsPart">'Lists of Products and Options'!$AAZ$3:$AAZ$7</definedName>
    <definedName name="EDS_3090">Units!$BM$6:$BM$7</definedName>
    <definedName name="G_GWK2_OptionsPart">'Lists of Products and Options'!$CL$3:$CL$10</definedName>
    <definedName name="G_GWKR2">'Lists of Products and Options'!$CH$2</definedName>
    <definedName name="G_GWKR2OptionsPart">'Lists of Products and Options'!$CH$3:$CH$10</definedName>
    <definedName name="Hausys">'Cabinetry Colors'!$D$2:$D$13</definedName>
    <definedName name="heightrequired">Vinyl!$AF$2:$AF$7</definedName>
    <definedName name="ITEMS">'2013 Belmont Retail Pricing'!$A$3:$A$768</definedName>
    <definedName name="laminate">'Cabinetry Colors'!$C$2:$C$9</definedName>
    <definedName name="lightheight">Vinyl!$P$1:$P$6</definedName>
    <definedName name="Lights">'Lists of Products and Options'!$K$2:$K$21</definedName>
    <definedName name="NU">LoCS!$L$20:$L$20</definedName>
    <definedName name="O81D">LoCS!$S$20:$S$21</definedName>
    <definedName name="O81U">LoCS!$U$20:$U$21</definedName>
    <definedName name="O91D">LoCS!$V$20:$V$21</definedName>
    <definedName name="O91U">LoCS!$W$20:$W$21</definedName>
    <definedName name="OC_200OptionsPart">'Lists of Products and Options'!$QV$3:$QV$13</definedName>
    <definedName name="OC_400OptionsPart">'Lists of Products and Options'!$QZ$3:$QZ$12</definedName>
    <definedName name="Parts">'Lists of Products and Options'!$S$2:$S$530</definedName>
    <definedName name="PHOT_XIIOptionsPart">'Lists of Products and Options'!$CD$3:$CD$10</definedName>
    <definedName name="_xlnm.Print_Area" localSheetId="6">'2013 Belmont Retail Pricing'!$A$1:$E$768</definedName>
    <definedName name="_xlnm.Print_Area" localSheetId="1">Config!$A$1:$AB$50</definedName>
    <definedName name="_xlnm.Print_Area" localSheetId="8">'Customer Purchase Order'!$A$1:$Z$43</definedName>
    <definedName name="_xlnm.Print_Area" localSheetId="0">Inputs!$B$1:$E$60</definedName>
    <definedName name="_xlnm.Print_Area" localSheetId="3">Lights!$A$74:$Y$140</definedName>
    <definedName name="_xlnm.Print_Area" localSheetId="2">LoCS!$A$1:$AF$21</definedName>
    <definedName name="_xlnm.Print_Area" localSheetId="4">'Order Acknowledgment Form'!$A$1:$M$43</definedName>
    <definedName name="_xlnm.Print_Area" localSheetId="24">Units!$A$1:$BN$70</definedName>
    <definedName name="_xlnm.Print_Titles" localSheetId="3">Lights!$1:$4</definedName>
    <definedName name="PWOS">LoCS!$H$20:$H$21</definedName>
    <definedName name="PWSL">LoCS!$J$20:$J$21</definedName>
    <definedName name="q__">Config!$E$26:$F$27</definedName>
    <definedName name="Q_5000">LoCS!$N$2:$N$5</definedName>
    <definedName name="Q_5000OptionDescription">'Lists of Products and Options'!$V$3</definedName>
    <definedName name="Q_5000OptionPrice">'Lists of Products and Options'!$W$3</definedName>
    <definedName name="Q_5000Options">'Lists of Products and Options'!$U$3:$W$3</definedName>
    <definedName name="Q_5000OptionsPart">'Lists of Products and Options'!$U$3</definedName>
    <definedName name="QDU_5300">Units!$U$6</definedName>
    <definedName name="QDU_5370">Units!$D$6</definedName>
    <definedName name="QDU_5370OptionsPart">'Lists of Products and Options'!$SJ$3:$SJ$19</definedName>
    <definedName name="QDU_5371">Units!$E$6:$E$6</definedName>
    <definedName name="QDU_5371OptionsPart">'Lists of Products and Options'!$SN$3:$SN$19</definedName>
    <definedName name="QDU_5375">Units!$F$6:$F$6</definedName>
    <definedName name="QDU_5375OptionsPart">'Lists of Products and Options'!$SR$3:$SR$19</definedName>
    <definedName name="QDU_5379">Units!$G$6:$G$6</definedName>
    <definedName name="QDU_5379OptionsPart">'Lists of Products and Options'!$SV$3:$SV$19</definedName>
    <definedName name="QDU_5400">Units!$T$6:$T$6</definedName>
    <definedName name="QDU_5470">Units!$H$6:$H$6</definedName>
    <definedName name="QDU_5470OptionsPart">'Lists of Products and Options'!$SZ$3:$SZ$17</definedName>
    <definedName name="QDU_5471">Units!$I$6:$I$6</definedName>
    <definedName name="QDU_5471OptionsPart">'Lists of Products and Options'!$TD$3:$TD$17</definedName>
    <definedName name="QDU_5475">Units!$J$6:$J$6</definedName>
    <definedName name="QDU_5475OptionsPart">'Lists of Products and Options'!$TH$3:$TH$17</definedName>
    <definedName name="QDU_5479">Units!$K$6:$K$6</definedName>
    <definedName name="QDU_5479OptionsPart">'Lists of Products and Options'!$TL$3:$TL$17</definedName>
    <definedName name="QDU_5630">Lights!$AC$5</definedName>
    <definedName name="QDU_5631">Lights!$AL$5</definedName>
    <definedName name="QDU_5631OptionsPart">'Lists of Products and Options'!$FZ$3:$FZ$11</definedName>
    <definedName name="QDU_5670">Units!$L$6:$L$6</definedName>
    <definedName name="QDU_5670OptionsPart">'Lists of Products and Options'!$RT$3:$RT$16</definedName>
    <definedName name="QDU_5671">Units!$M$6:$M$6</definedName>
    <definedName name="QDU_5671OptionsPart">'Lists of Products and Options'!$RX$3:$RX$16</definedName>
    <definedName name="QDU_5675">Units!$N$6:$N$6</definedName>
    <definedName name="QDU_5675OptionsPart">'Lists of Products and Options'!$SB$3:$SB$16</definedName>
    <definedName name="QDU_5679">Units!$O$6:$O$6</definedName>
    <definedName name="QDU_5679OptionsPart">'Lists of Products and Options'!$SF$3:$SF$16</definedName>
    <definedName name="QDU_5870">Units!$P$6:$P$6</definedName>
    <definedName name="QDU_5870OptionsPart">'Lists of Products and Options'!$RD$3:$RD$17</definedName>
    <definedName name="QDU_5871">Units!$Q$6:$Q$6</definedName>
    <definedName name="QDU_5871OptionsPart">'Lists of Products and Options'!$RH$3:$RH$17</definedName>
    <definedName name="QDU_5875">Units!$R$6:$R$6</definedName>
    <definedName name="QDU_5875OptionsPart">'Lists of Products and Options'!$RL$3:$RL$17</definedName>
    <definedName name="QDU_5879">Units!$S$6:$S$6</definedName>
    <definedName name="QDU_5879OptionsPart">'Lists of Products and Options'!$RP$3:$RP$17</definedName>
    <definedName name="QPS">LoCS!$D$20:$D$20</definedName>
    <definedName name="QPW">LoCS!$F$20:$F$20</definedName>
    <definedName name="QSS">LoCS!$C$20:$C$20</definedName>
    <definedName name="QSW">LoCS!$E$20:$E$21</definedName>
    <definedName name="R__OptionsPart">'Lists of Products and Options'!$BE$3</definedName>
    <definedName name="R_ROptionsPart">'Lists of Products and Options'!$BA$3</definedName>
    <definedName name="salesperson">Vinyl!$V$1:$V$16</definedName>
    <definedName name="SL">LoCS!$N$20:$N$20</definedName>
    <definedName name="Standard">'Cabinetry Colors'!$A$2:$A$14</definedName>
    <definedName name="SteriOptionsPart">'Lists of Products and Options'!$MX$3:$MX$110</definedName>
    <definedName name="Stools">'Lists of Products and Options'!$M$2:$M$7</definedName>
    <definedName name="SWOS">LoCS!$G$20:$G$21</definedName>
    <definedName name="SWSL">LoCS!$I$20:$I$21</definedName>
    <definedName name="UL">Vinyl!$F$1:$F$2</definedName>
    <definedName name="ULHP">LoCS!$P$20:$P$20</definedName>
    <definedName name="ULNU">LoCS!$M$20:$M$20</definedName>
    <definedName name="ULSL">LoCS!$O$20:$O$20</definedName>
    <definedName name="Ultraleather">Vinyl!$B$18:$B$40</definedName>
    <definedName name="Units">'Lists of Products and Options'!$O$2:$O$66</definedName>
    <definedName name="wipeout">Vinyl!$AA$2:$AA$4</definedName>
    <definedName name="X_Ray">'Lists of Products and Options'!$Q$2:$Q$36</definedName>
  </definedNames>
  <calcPr calcId="145621"/>
</workbook>
</file>

<file path=xl/calcChain.xml><?xml version="1.0" encoding="utf-8"?>
<calcChain xmlns="http://schemas.openxmlformats.org/spreadsheetml/2006/main">
  <c r="B24" i="28" l="1" a="1"/>
  <c r="B24" i="28" s="1"/>
  <c r="B21" i="28" a="1"/>
  <c r="B21" i="28" s="1"/>
  <c r="B5" i="28" a="1"/>
  <c r="B5" i="28" s="1"/>
  <c r="B34" i="28" l="1"/>
  <c r="C32" i="28"/>
  <c r="B31" i="28"/>
  <c r="C29" i="28"/>
  <c r="B28" i="28"/>
  <c r="C26" i="28"/>
  <c r="B25" i="28"/>
  <c r="C33" i="28"/>
  <c r="B32" i="28"/>
  <c r="C30" i="28"/>
  <c r="B29" i="28"/>
  <c r="C27" i="28"/>
  <c r="B26" i="28"/>
  <c r="C24" i="28"/>
  <c r="C34" i="28"/>
  <c r="B33" i="28"/>
  <c r="C31" i="28"/>
  <c r="B30" i="28"/>
  <c r="C28" i="28"/>
  <c r="B27" i="28"/>
  <c r="C25" i="28"/>
  <c r="B22" i="28"/>
  <c r="B23" i="28"/>
  <c r="C21" i="28"/>
  <c r="C23" i="28"/>
  <c r="C22" i="28"/>
  <c r="C19" i="28"/>
  <c r="B18" i="28"/>
  <c r="C16" i="28"/>
  <c r="B15" i="28"/>
  <c r="C13" i="28"/>
  <c r="B12" i="28"/>
  <c r="C10" i="28"/>
  <c r="B9" i="28"/>
  <c r="C7" i="28"/>
  <c r="B6" i="28"/>
  <c r="C20" i="28"/>
  <c r="B19" i="28"/>
  <c r="C17" i="28"/>
  <c r="B16" i="28"/>
  <c r="C14" i="28"/>
  <c r="B13" i="28"/>
  <c r="C11" i="28"/>
  <c r="B10" i="28"/>
  <c r="C8" i="28"/>
  <c r="B7" i="28"/>
  <c r="C5" i="28"/>
  <c r="B20" i="28"/>
  <c r="C18" i="28"/>
  <c r="B17" i="28"/>
  <c r="C15" i="28"/>
  <c r="B14" i="28"/>
  <c r="C12" i="28"/>
  <c r="B11" i="28"/>
  <c r="C9" i="28"/>
  <c r="B8" i="28"/>
  <c r="C6" i="28"/>
  <c r="E53" i="4"/>
  <c r="E61" i="4" l="1"/>
  <c r="AR5" i="24" l="1"/>
  <c r="AJ5" i="24" l="1"/>
  <c r="O34" i="1" l="1"/>
  <c r="O35" i="1"/>
  <c r="O36" i="1"/>
  <c r="O37" i="1"/>
  <c r="O38" i="1"/>
  <c r="O39" i="1"/>
  <c r="O40" i="1"/>
  <c r="O41" i="1"/>
  <c r="O42" i="1"/>
  <c r="O43" i="1"/>
  <c r="O44" i="1"/>
  <c r="O45" i="1"/>
  <c r="O46" i="1"/>
  <c r="O47" i="1"/>
  <c r="O48" i="1"/>
  <c r="O49" i="1"/>
  <c r="Q34" i="1" l="1"/>
  <c r="A25" i="1" l="1"/>
  <c r="AC5" i="24" l="1"/>
  <c r="AC47" i="24"/>
  <c r="AC49" i="24"/>
  <c r="AC51" i="24"/>
  <c r="AC54" i="24"/>
  <c r="AC57" i="24"/>
  <c r="AC61" i="24"/>
  <c r="AC64" i="24"/>
  <c r="AC67" i="24"/>
  <c r="AC69" i="24"/>
  <c r="AC72" i="24"/>
  <c r="E7" i="24"/>
  <c r="A28" i="1" l="1"/>
  <c r="E18" i="19"/>
  <c r="H18" i="19"/>
  <c r="K18" i="19"/>
  <c r="B34" i="23" l="1"/>
  <c r="M28" i="23"/>
  <c r="M29" i="23"/>
  <c r="M30" i="23"/>
  <c r="M31" i="23"/>
  <c r="M32" i="23"/>
  <c r="M33" i="23"/>
  <c r="M34" i="23"/>
  <c r="M35" i="23"/>
  <c r="M40" i="23"/>
  <c r="M27" i="23"/>
  <c r="I28" i="23"/>
  <c r="I29" i="23"/>
  <c r="I30" i="23"/>
  <c r="I31" i="23"/>
  <c r="I32" i="23"/>
  <c r="I33" i="23"/>
  <c r="I34" i="23"/>
  <c r="I35" i="23"/>
  <c r="I40" i="23"/>
  <c r="I27" i="23"/>
  <c r="S4" i="23"/>
  <c r="C3" i="23"/>
  <c r="S18" i="23"/>
  <c r="I26" i="23" s="1"/>
  <c r="D18" i="23"/>
  <c r="D17" i="23"/>
  <c r="D16" i="23"/>
  <c r="O14" i="23"/>
  <c r="O13" i="23"/>
  <c r="O12" i="23"/>
  <c r="O11" i="23"/>
  <c r="O10" i="23"/>
  <c r="D13" i="23"/>
  <c r="D12" i="23"/>
  <c r="D11" i="23"/>
  <c r="D10" i="23"/>
  <c r="B27" i="23"/>
  <c r="L7" i="23"/>
  <c r="L6" i="23"/>
  <c r="L5" i="23"/>
  <c r="L8" i="23"/>
  <c r="W4" i="23"/>
  <c r="B20" i="23" l="1"/>
  <c r="Q30" i="1"/>
  <c r="K21" i="19"/>
  <c r="H21" i="19"/>
  <c r="F21" i="19"/>
  <c r="C21" i="19"/>
  <c r="C35" i="19" s="1"/>
  <c r="C15" i="19"/>
  <c r="H15" i="19"/>
  <c r="G32" i="19"/>
  <c r="G31" i="19"/>
  <c r="G30" i="19"/>
  <c r="G29" i="19"/>
  <c r="G28" i="19"/>
  <c r="G27" i="19"/>
  <c r="G26" i="19"/>
  <c r="G25" i="19"/>
  <c r="G24" i="19"/>
  <c r="C32" i="19"/>
  <c r="C31" i="19"/>
  <c r="C30" i="19"/>
  <c r="C29" i="19"/>
  <c r="C28" i="19"/>
  <c r="C27" i="19"/>
  <c r="C26" i="19"/>
  <c r="C25" i="19"/>
  <c r="C24" i="19"/>
  <c r="C33" i="19"/>
  <c r="C18" i="19"/>
  <c r="H14" i="19"/>
  <c r="H13" i="19"/>
  <c r="H12" i="19"/>
  <c r="C14" i="19"/>
  <c r="H16" i="19"/>
  <c r="C16" i="19" l="1"/>
  <c r="C13" i="19"/>
  <c r="C12" i="19"/>
  <c r="K4" i="19"/>
  <c r="Q1" i="19"/>
  <c r="R1" i="19" s="1"/>
  <c r="I4" i="19" s="1"/>
  <c r="B49" i="1"/>
  <c r="T49" i="1"/>
  <c r="S49" i="1"/>
  <c r="R49" i="1"/>
  <c r="Q49" i="1"/>
  <c r="P49" i="1"/>
  <c r="D49" i="1"/>
  <c r="C49" i="1"/>
  <c r="U49" i="1" l="1"/>
  <c r="W49" i="1" s="1"/>
  <c r="X49" i="1" s="1"/>
  <c r="C48" i="1"/>
  <c r="C47" i="1"/>
  <c r="C46" i="1"/>
  <c r="C45" i="1"/>
  <c r="C44" i="1"/>
  <c r="C43" i="1"/>
  <c r="C42" i="1"/>
  <c r="C41" i="1"/>
  <c r="C40" i="1"/>
  <c r="C39" i="1"/>
  <c r="C38" i="1"/>
  <c r="C37" i="1"/>
  <c r="C36" i="1"/>
  <c r="C35" i="1"/>
  <c r="C34" i="1"/>
  <c r="AB49" i="1" l="1"/>
  <c r="Z49" i="1"/>
  <c r="AA49" i="1"/>
  <c r="A27" i="1"/>
  <c r="O33" i="1" l="1"/>
  <c r="AG33" i="1" s="1"/>
  <c r="P33" i="1"/>
  <c r="C28" i="11" l="1"/>
  <c r="C27" i="11"/>
  <c r="C26" i="11"/>
  <c r="G25" i="11"/>
  <c r="F25" i="11"/>
  <c r="J25" i="11" s="1"/>
  <c r="E25" i="11"/>
  <c r="I25" i="11" s="1"/>
  <c r="D25" i="11"/>
  <c r="H25" i="11" s="1"/>
  <c r="C25" i="11"/>
  <c r="G24" i="11"/>
  <c r="F24" i="11"/>
  <c r="J24" i="11" s="1"/>
  <c r="E24" i="11"/>
  <c r="I24" i="11" s="1"/>
  <c r="D24" i="11"/>
  <c r="H24" i="11" s="1"/>
  <c r="C24" i="11"/>
  <c r="G23" i="11"/>
  <c r="F23" i="11"/>
  <c r="J23" i="11" s="1"/>
  <c r="E23" i="11"/>
  <c r="I23" i="11" s="1"/>
  <c r="D23" i="11"/>
  <c r="H23" i="11" s="1"/>
  <c r="C23" i="11"/>
  <c r="G22" i="11"/>
  <c r="F22" i="11"/>
  <c r="J22" i="11" s="1"/>
  <c r="E22" i="11"/>
  <c r="I22" i="11" s="1"/>
  <c r="D22" i="11"/>
  <c r="H22" i="11" s="1"/>
  <c r="C22" i="11"/>
  <c r="G21" i="11"/>
  <c r="F21" i="11"/>
  <c r="J21" i="11" s="1"/>
  <c r="E21" i="11"/>
  <c r="I21" i="11" s="1"/>
  <c r="D21" i="11"/>
  <c r="H21" i="11" s="1"/>
  <c r="C21" i="11"/>
  <c r="G20" i="11"/>
  <c r="F20" i="11"/>
  <c r="J20" i="11" s="1"/>
  <c r="E20" i="11"/>
  <c r="I20" i="11" s="1"/>
  <c r="D20" i="11"/>
  <c r="H20" i="11" s="1"/>
  <c r="C20" i="11"/>
  <c r="G19" i="11"/>
  <c r="F19" i="11"/>
  <c r="J19" i="11" s="1"/>
  <c r="E19" i="11"/>
  <c r="I19" i="11" s="1"/>
  <c r="D19" i="11"/>
  <c r="H19" i="11" s="1"/>
  <c r="C19" i="11"/>
  <c r="G18" i="11"/>
  <c r="F18" i="11"/>
  <c r="J18" i="11" s="1"/>
  <c r="E18" i="11"/>
  <c r="I18" i="11" s="1"/>
  <c r="D18" i="11"/>
  <c r="H18" i="11" s="1"/>
  <c r="C18" i="11"/>
  <c r="G17" i="11"/>
  <c r="F17" i="11"/>
  <c r="J17" i="11" s="1"/>
  <c r="E17" i="11"/>
  <c r="I17" i="11" s="1"/>
  <c r="D17" i="11"/>
  <c r="H17" i="11" s="1"/>
  <c r="C17" i="11"/>
  <c r="G16" i="11"/>
  <c r="F16" i="11"/>
  <c r="J16" i="11" s="1"/>
  <c r="E16" i="11"/>
  <c r="I16" i="11" s="1"/>
  <c r="D16" i="11"/>
  <c r="H16" i="11" s="1"/>
  <c r="C16" i="11"/>
  <c r="G15" i="11"/>
  <c r="F15" i="11"/>
  <c r="J15" i="11" s="1"/>
  <c r="E15" i="11"/>
  <c r="I15" i="11" s="1"/>
  <c r="D15" i="11"/>
  <c r="H15" i="11" s="1"/>
  <c r="C15" i="11"/>
  <c r="G14" i="11"/>
  <c r="F14" i="11"/>
  <c r="J14" i="11" s="1"/>
  <c r="E14" i="11"/>
  <c r="I14" i="11" s="1"/>
  <c r="D14" i="11"/>
  <c r="H14" i="11" s="1"/>
  <c r="C14" i="11"/>
  <c r="G13" i="11"/>
  <c r="F13" i="11"/>
  <c r="J13" i="11" s="1"/>
  <c r="E13" i="11"/>
  <c r="I13" i="11" s="1"/>
  <c r="D13" i="11"/>
  <c r="H13" i="11" s="1"/>
  <c r="C13" i="11"/>
  <c r="G12" i="11"/>
  <c r="F12" i="11"/>
  <c r="J12" i="11" s="1"/>
  <c r="E12" i="11"/>
  <c r="I12" i="11" s="1"/>
  <c r="D12" i="11"/>
  <c r="H12" i="11" s="1"/>
  <c r="C12" i="11"/>
  <c r="G11" i="11"/>
  <c r="F11" i="11"/>
  <c r="J11" i="11" s="1"/>
  <c r="E11" i="11"/>
  <c r="I11" i="11" s="1"/>
  <c r="D11" i="11"/>
  <c r="H11" i="11" s="1"/>
  <c r="C11" i="11"/>
  <c r="G10" i="11"/>
  <c r="G9" i="11"/>
  <c r="G8" i="11"/>
  <c r="F7" i="11"/>
  <c r="J7" i="11" s="1"/>
  <c r="E7" i="11"/>
  <c r="I7" i="11" s="1"/>
  <c r="D7" i="11"/>
  <c r="H7" i="11" s="1"/>
  <c r="G6" i="11"/>
  <c r="MY110" i="5"/>
  <c r="MY109" i="5"/>
  <c r="MZ108" i="5"/>
  <c r="MY108" i="5"/>
  <c r="MZ107" i="5"/>
  <c r="MY107" i="5"/>
  <c r="MZ106" i="5"/>
  <c r="MY106" i="5"/>
  <c r="MZ105" i="5"/>
  <c r="G7" i="11" s="1"/>
  <c r="MY105" i="5"/>
  <c r="C7" i="11" s="1"/>
  <c r="MZ104" i="5"/>
  <c r="MY104" i="5"/>
  <c r="MZ103" i="5"/>
  <c r="MY103" i="5"/>
  <c r="NC102" i="5"/>
  <c r="NB102" i="5"/>
  <c r="NA102" i="5"/>
  <c r="MZ102" i="5"/>
  <c r="MY102" i="5"/>
  <c r="NC101" i="5"/>
  <c r="NB101" i="5"/>
  <c r="NA101" i="5"/>
  <c r="MZ101" i="5"/>
  <c r="MY101" i="5"/>
  <c r="NC100" i="5"/>
  <c r="NB100" i="5"/>
  <c r="NA100" i="5"/>
  <c r="MZ100" i="5"/>
  <c r="MY100" i="5"/>
  <c r="NC99" i="5"/>
  <c r="NB99" i="5"/>
  <c r="NA99" i="5"/>
  <c r="MZ99" i="5"/>
  <c r="MY99" i="5"/>
  <c r="NC98" i="5"/>
  <c r="NB98" i="5"/>
  <c r="NA98" i="5"/>
  <c r="MZ98" i="5"/>
  <c r="MY98" i="5"/>
  <c r="NC97" i="5"/>
  <c r="NB97" i="5"/>
  <c r="NA97" i="5"/>
  <c r="MZ97" i="5"/>
  <c r="MY97" i="5"/>
  <c r="NC96" i="5"/>
  <c r="NB96" i="5"/>
  <c r="NA96" i="5"/>
  <c r="MZ96" i="5"/>
  <c r="MY96" i="5"/>
  <c r="NC95" i="5"/>
  <c r="NB95" i="5"/>
  <c r="NA95" i="5"/>
  <c r="MZ95" i="5"/>
  <c r="MY95" i="5"/>
  <c r="NC94" i="5"/>
  <c r="NB94" i="5"/>
  <c r="NA94" i="5"/>
  <c r="MZ94" i="5"/>
  <c r="MY94" i="5"/>
  <c r="NC93" i="5"/>
  <c r="NB93" i="5"/>
  <c r="NA93" i="5"/>
  <c r="MZ93" i="5"/>
  <c r="MY93" i="5"/>
  <c r="NC92" i="5"/>
  <c r="NB92" i="5"/>
  <c r="NA92" i="5"/>
  <c r="MZ92" i="5"/>
  <c r="MY92" i="5"/>
  <c r="NC91" i="5"/>
  <c r="NB91" i="5"/>
  <c r="NA91" i="5"/>
  <c r="MZ91" i="5"/>
  <c r="MY91" i="5"/>
  <c r="NC90" i="5"/>
  <c r="NB90" i="5"/>
  <c r="NA90" i="5"/>
  <c r="MZ90" i="5"/>
  <c r="MY90" i="5"/>
  <c r="NC89" i="5"/>
  <c r="NB89" i="5"/>
  <c r="NA89" i="5"/>
  <c r="MZ89" i="5"/>
  <c r="MY89" i="5"/>
  <c r="NC88" i="5"/>
  <c r="NB88" i="5"/>
  <c r="NA88" i="5"/>
  <c r="MZ88" i="5"/>
  <c r="MY88" i="5"/>
  <c r="NC87" i="5"/>
  <c r="NB87" i="5"/>
  <c r="NA87" i="5"/>
  <c r="MZ87" i="5"/>
  <c r="MY87" i="5"/>
  <c r="NC86" i="5"/>
  <c r="NB86" i="5"/>
  <c r="NA86" i="5"/>
  <c r="MZ86" i="5"/>
  <c r="MY86" i="5"/>
  <c r="NC85" i="5"/>
  <c r="NB85" i="5"/>
  <c r="NA85" i="5"/>
  <c r="MZ85" i="5"/>
  <c r="MY85" i="5"/>
  <c r="NC84" i="5"/>
  <c r="NB84" i="5"/>
  <c r="NA84" i="5"/>
  <c r="MZ84" i="5"/>
  <c r="MY84" i="5"/>
  <c r="NC83" i="5"/>
  <c r="NB83" i="5"/>
  <c r="NA83" i="5"/>
  <c r="MZ83" i="5"/>
  <c r="MY83" i="5"/>
  <c r="NC82" i="5"/>
  <c r="NB82" i="5"/>
  <c r="NA82" i="5"/>
  <c r="MZ82" i="5"/>
  <c r="MY82" i="5"/>
  <c r="NC81" i="5"/>
  <c r="NB81" i="5"/>
  <c r="NA81" i="5"/>
  <c r="MZ81" i="5"/>
  <c r="MY81" i="5"/>
  <c r="NC80" i="5"/>
  <c r="NB80" i="5"/>
  <c r="NA80" i="5"/>
  <c r="MZ80" i="5"/>
  <c r="MY80" i="5"/>
  <c r="NC79" i="5"/>
  <c r="NB79" i="5"/>
  <c r="NA79" i="5"/>
  <c r="MZ79" i="5"/>
  <c r="MY79" i="5"/>
  <c r="NC78" i="5"/>
  <c r="NB78" i="5"/>
  <c r="NA78" i="5"/>
  <c r="MZ78" i="5"/>
  <c r="MY78" i="5"/>
  <c r="NC77" i="5"/>
  <c r="NB77" i="5"/>
  <c r="NA77" i="5"/>
  <c r="MZ77" i="5"/>
  <c r="MY77" i="5"/>
  <c r="NC76" i="5"/>
  <c r="NB76" i="5"/>
  <c r="NA76" i="5"/>
  <c r="MZ76" i="5"/>
  <c r="MY76" i="5"/>
  <c r="NC75" i="5"/>
  <c r="NB75" i="5"/>
  <c r="NA75" i="5"/>
  <c r="MZ75" i="5"/>
  <c r="MY75" i="5"/>
  <c r="NC74" i="5"/>
  <c r="NB74" i="5"/>
  <c r="NA74" i="5"/>
  <c r="MZ74" i="5"/>
  <c r="MY74" i="5"/>
  <c r="NC73" i="5"/>
  <c r="NB73" i="5"/>
  <c r="NA73" i="5"/>
  <c r="MZ73" i="5"/>
  <c r="MY73" i="5"/>
  <c r="NC72" i="5"/>
  <c r="NB72" i="5"/>
  <c r="NA72" i="5"/>
  <c r="MZ72" i="5"/>
  <c r="MY72" i="5"/>
  <c r="NC71" i="5"/>
  <c r="NB71" i="5"/>
  <c r="NA71" i="5"/>
  <c r="MZ71" i="5"/>
  <c r="MY71" i="5"/>
  <c r="NC70" i="5"/>
  <c r="NB70" i="5"/>
  <c r="NA70" i="5"/>
  <c r="MZ70" i="5"/>
  <c r="MY70" i="5"/>
  <c r="NC69" i="5"/>
  <c r="NB69" i="5"/>
  <c r="NA69" i="5"/>
  <c r="MZ69" i="5"/>
  <c r="MY69" i="5"/>
  <c r="NC68" i="5"/>
  <c r="NB68" i="5"/>
  <c r="NA68" i="5"/>
  <c r="MZ68" i="5"/>
  <c r="MY68" i="5"/>
  <c r="NC67" i="5"/>
  <c r="NB67" i="5"/>
  <c r="NA67" i="5"/>
  <c r="MZ67" i="5"/>
  <c r="MY67" i="5"/>
  <c r="NC66" i="5"/>
  <c r="NB66" i="5"/>
  <c r="NA66" i="5"/>
  <c r="MZ66" i="5"/>
  <c r="MY66" i="5"/>
  <c r="NC65" i="5"/>
  <c r="NB65" i="5"/>
  <c r="NA65" i="5"/>
  <c r="MZ65" i="5"/>
  <c r="MY65" i="5"/>
  <c r="NC64" i="5"/>
  <c r="NB64" i="5"/>
  <c r="NA64" i="5"/>
  <c r="MZ64" i="5"/>
  <c r="MY64" i="5"/>
  <c r="NC63" i="5"/>
  <c r="NB63" i="5"/>
  <c r="NA63" i="5"/>
  <c r="MZ63" i="5"/>
  <c r="MY63" i="5"/>
  <c r="NC62" i="5"/>
  <c r="NB62" i="5"/>
  <c r="NA62" i="5"/>
  <c r="MZ62" i="5"/>
  <c r="MY62" i="5"/>
  <c r="NC61" i="5"/>
  <c r="NB61" i="5"/>
  <c r="NA61" i="5"/>
  <c r="MZ61" i="5"/>
  <c r="MY61" i="5"/>
  <c r="NC60" i="5"/>
  <c r="NB60" i="5"/>
  <c r="NA60" i="5"/>
  <c r="MZ60" i="5"/>
  <c r="MY60" i="5"/>
  <c r="NC59" i="5"/>
  <c r="NB59" i="5"/>
  <c r="NA59" i="5"/>
  <c r="MZ59" i="5"/>
  <c r="MY59" i="5"/>
  <c r="NC58" i="5"/>
  <c r="NB58" i="5"/>
  <c r="NA58" i="5"/>
  <c r="MZ58" i="5"/>
  <c r="MY58" i="5"/>
  <c r="NC57" i="5"/>
  <c r="NB57" i="5"/>
  <c r="NA57" i="5"/>
  <c r="MY57" i="5"/>
  <c r="NC56" i="5"/>
  <c r="NB56" i="5"/>
  <c r="NA56" i="5"/>
  <c r="MY56" i="5"/>
  <c r="NC55" i="5"/>
  <c r="NB55" i="5"/>
  <c r="NA55" i="5"/>
  <c r="MY55" i="5"/>
  <c r="NC54" i="5"/>
  <c r="NB54" i="5"/>
  <c r="NA54" i="5"/>
  <c r="MY54" i="5"/>
  <c r="NC53" i="5"/>
  <c r="NB53" i="5"/>
  <c r="NA53" i="5"/>
  <c r="MY53" i="5"/>
  <c r="NC52" i="5"/>
  <c r="NB52" i="5"/>
  <c r="NA52" i="5"/>
  <c r="MY52" i="5"/>
  <c r="NC51" i="5"/>
  <c r="NB51" i="5"/>
  <c r="NA51" i="5"/>
  <c r="MY51" i="5"/>
  <c r="NC50" i="5"/>
  <c r="NB50" i="5"/>
  <c r="NA50" i="5"/>
  <c r="MY50" i="5"/>
  <c r="NC49" i="5"/>
  <c r="NB49" i="5"/>
  <c r="NA49" i="5"/>
  <c r="MY49" i="5"/>
  <c r="NC48" i="5"/>
  <c r="NB48" i="5"/>
  <c r="NA48" i="5"/>
  <c r="MY48" i="5"/>
  <c r="NC47" i="5"/>
  <c r="NB47" i="5"/>
  <c r="NA47" i="5"/>
  <c r="MY47" i="5"/>
  <c r="NC46" i="5"/>
  <c r="NB46" i="5"/>
  <c r="NA46" i="5"/>
  <c r="MY46" i="5"/>
  <c r="NC45" i="5"/>
  <c r="NB45" i="5"/>
  <c r="NA45" i="5"/>
  <c r="MY45" i="5"/>
  <c r="NC44" i="5"/>
  <c r="NB44" i="5"/>
  <c r="NA44" i="5"/>
  <c r="MY44" i="5"/>
  <c r="NC43" i="5"/>
  <c r="NB43" i="5"/>
  <c r="NA43" i="5"/>
  <c r="MY43" i="5"/>
  <c r="NC42" i="5"/>
  <c r="NB42" i="5"/>
  <c r="NA42" i="5"/>
  <c r="MY42" i="5"/>
  <c r="NC41" i="5"/>
  <c r="NB41" i="5"/>
  <c r="NA41" i="5"/>
  <c r="MY41" i="5"/>
  <c r="NC40" i="5"/>
  <c r="NB40" i="5"/>
  <c r="NA40" i="5"/>
  <c r="MY40" i="5"/>
  <c r="NC39" i="5"/>
  <c r="NB39" i="5"/>
  <c r="NA39" i="5"/>
  <c r="MY39" i="5"/>
  <c r="NC38" i="5"/>
  <c r="NB38" i="5"/>
  <c r="NA38" i="5"/>
  <c r="MY38" i="5"/>
  <c r="NC37" i="5"/>
  <c r="NB37" i="5"/>
  <c r="NA37" i="5"/>
  <c r="MY37" i="5"/>
  <c r="NC36" i="5"/>
  <c r="NB36" i="5"/>
  <c r="NA36" i="5"/>
  <c r="MY36" i="5"/>
  <c r="NC35" i="5"/>
  <c r="NB35" i="5"/>
  <c r="NA35" i="5"/>
  <c r="MY35" i="5"/>
  <c r="NC34" i="5"/>
  <c r="NB34" i="5"/>
  <c r="NA34" i="5"/>
  <c r="MY34" i="5"/>
  <c r="NC33" i="5"/>
  <c r="NB33" i="5"/>
  <c r="NA33" i="5"/>
  <c r="MY33" i="5"/>
  <c r="NC32" i="5"/>
  <c r="NB32" i="5"/>
  <c r="NA32" i="5"/>
  <c r="MY32" i="5"/>
  <c r="NC31" i="5"/>
  <c r="NB31" i="5"/>
  <c r="NA31" i="5"/>
  <c r="MY31" i="5"/>
  <c r="NC30" i="5"/>
  <c r="NB30" i="5"/>
  <c r="NA30" i="5"/>
  <c r="MY30" i="5"/>
  <c r="NC29" i="5"/>
  <c r="NB29" i="5"/>
  <c r="NA29" i="5"/>
  <c r="MY29" i="5"/>
  <c r="NC28" i="5"/>
  <c r="NB28" i="5"/>
  <c r="NA28" i="5"/>
  <c r="MY28" i="5"/>
  <c r="NC27" i="5"/>
  <c r="NB27" i="5"/>
  <c r="NA27" i="5"/>
  <c r="MY27" i="5"/>
  <c r="NC26" i="5"/>
  <c r="NB26" i="5"/>
  <c r="NA26" i="5"/>
  <c r="MY26" i="5"/>
  <c r="NC25" i="5"/>
  <c r="NB25" i="5"/>
  <c r="NA25" i="5"/>
  <c r="MY25" i="5"/>
  <c r="NC24" i="5"/>
  <c r="NB24" i="5"/>
  <c r="NA24" i="5"/>
  <c r="MY24" i="5"/>
  <c r="NC23" i="5"/>
  <c r="NB23" i="5"/>
  <c r="NA23" i="5"/>
  <c r="MY23" i="5"/>
  <c r="NC22" i="5"/>
  <c r="NB22" i="5"/>
  <c r="NA22" i="5"/>
  <c r="MY22" i="5"/>
  <c r="NC21" i="5"/>
  <c r="NB21" i="5"/>
  <c r="NA21" i="5"/>
  <c r="MY21" i="5"/>
  <c r="NC20" i="5"/>
  <c r="NB20" i="5"/>
  <c r="NA20" i="5"/>
  <c r="MY20" i="5"/>
  <c r="NC19" i="5"/>
  <c r="NB19" i="5"/>
  <c r="NA19" i="5"/>
  <c r="MY19" i="5"/>
  <c r="NC18" i="5"/>
  <c r="NB18" i="5"/>
  <c r="NA18" i="5"/>
  <c r="MY18" i="5"/>
  <c r="NC17" i="5"/>
  <c r="NB17" i="5"/>
  <c r="NA17" i="5"/>
  <c r="MY17" i="5"/>
  <c r="NC16" i="5"/>
  <c r="NB16" i="5"/>
  <c r="NA16" i="5"/>
  <c r="MY16" i="5"/>
  <c r="NC15" i="5"/>
  <c r="NB15" i="5"/>
  <c r="NA15" i="5"/>
  <c r="MY15" i="5"/>
  <c r="NC14" i="5"/>
  <c r="F9" i="11" s="1"/>
  <c r="J9" i="11" s="1"/>
  <c r="NB14" i="5"/>
  <c r="E9" i="11" s="1"/>
  <c r="I9" i="11" s="1"/>
  <c r="NA14" i="5"/>
  <c r="D9" i="11" s="1"/>
  <c r="H9" i="11" s="1"/>
  <c r="MY14" i="5"/>
  <c r="C9" i="11" s="1"/>
  <c r="NC13" i="5"/>
  <c r="NB13" i="5"/>
  <c r="NA13" i="5"/>
  <c r="MY13" i="5"/>
  <c r="NC12" i="5"/>
  <c r="NB12" i="5"/>
  <c r="NA12" i="5"/>
  <c r="MY12" i="5"/>
  <c r="NC11" i="5"/>
  <c r="NB11" i="5"/>
  <c r="NA11" i="5"/>
  <c r="MY11" i="5"/>
  <c r="NC10" i="5"/>
  <c r="NB10" i="5"/>
  <c r="NA10" i="5"/>
  <c r="MY10" i="5"/>
  <c r="V10" i="5"/>
  <c r="NC9" i="5"/>
  <c r="NB9" i="5"/>
  <c r="NA9" i="5"/>
  <c r="MY9" i="5"/>
  <c r="NC8" i="5"/>
  <c r="F8" i="11" s="1"/>
  <c r="J8" i="11" s="1"/>
  <c r="NB8" i="5"/>
  <c r="E8" i="11" s="1"/>
  <c r="I8" i="11" s="1"/>
  <c r="NA8" i="5"/>
  <c r="D8" i="11" s="1"/>
  <c r="H8" i="11" s="1"/>
  <c r="MY8" i="5"/>
  <c r="C8" i="11" s="1"/>
  <c r="NC7" i="5"/>
  <c r="F10" i="11" s="1"/>
  <c r="J10" i="11" s="1"/>
  <c r="NB7" i="5"/>
  <c r="E10" i="11" s="1"/>
  <c r="I10" i="11" s="1"/>
  <c r="NA7" i="5"/>
  <c r="D10" i="11" s="1"/>
  <c r="H10" i="11" s="1"/>
  <c r="MY7" i="5"/>
  <c r="C10" i="11" s="1"/>
  <c r="NC6" i="5"/>
  <c r="NB6" i="5"/>
  <c r="NA6" i="5"/>
  <c r="MY6" i="5"/>
  <c r="NC5" i="5"/>
  <c r="NB5" i="5"/>
  <c r="NA5" i="5"/>
  <c r="MY5" i="5"/>
  <c r="NC4" i="5"/>
  <c r="F6" i="11" s="1"/>
  <c r="J6" i="11" s="1"/>
  <c r="NB4" i="5"/>
  <c r="E6" i="11" s="1"/>
  <c r="I6" i="11" s="1"/>
  <c r="NA4" i="5"/>
  <c r="D6" i="11" s="1"/>
  <c r="H6" i="11" s="1"/>
  <c r="MY4" i="5"/>
  <c r="C6" i="11" s="1"/>
  <c r="NC3" i="5"/>
  <c r="NB3" i="5"/>
  <c r="NA3" i="5"/>
  <c r="MY3" i="5"/>
  <c r="T48" i="1"/>
  <c r="S48" i="1"/>
  <c r="R48" i="1"/>
  <c r="Q48" i="1"/>
  <c r="P48" i="1"/>
  <c r="D48" i="1"/>
  <c r="T47" i="1"/>
  <c r="S47" i="1"/>
  <c r="R47" i="1"/>
  <c r="Q47" i="1"/>
  <c r="P47" i="1"/>
  <c r="D47" i="1"/>
  <c r="T46" i="1"/>
  <c r="S46" i="1"/>
  <c r="R46" i="1"/>
  <c r="Q46" i="1"/>
  <c r="P46" i="1"/>
  <c r="D46" i="1"/>
  <c r="T45" i="1"/>
  <c r="S45" i="1"/>
  <c r="R45" i="1"/>
  <c r="Q45" i="1"/>
  <c r="P45" i="1"/>
  <c r="D45" i="1"/>
  <c r="T44" i="1"/>
  <c r="S44" i="1"/>
  <c r="R44" i="1"/>
  <c r="Q44" i="1"/>
  <c r="P44" i="1"/>
  <c r="D44" i="1"/>
  <c r="T43" i="1"/>
  <c r="S43" i="1"/>
  <c r="R43" i="1"/>
  <c r="Q43" i="1"/>
  <c r="P43" i="1"/>
  <c r="D43" i="1"/>
  <c r="T42" i="1"/>
  <c r="S42" i="1"/>
  <c r="P40" i="23" s="1"/>
  <c r="R42" i="1"/>
  <c r="Q42" i="1"/>
  <c r="P42" i="1"/>
  <c r="D42" i="1"/>
  <c r="T41" i="1"/>
  <c r="S41" i="1"/>
  <c r="R41" i="1"/>
  <c r="Q41" i="1"/>
  <c r="P41" i="1"/>
  <c r="D41" i="1"/>
  <c r="T40" i="1"/>
  <c r="S40" i="1"/>
  <c r="R40" i="1"/>
  <c r="Q40" i="1"/>
  <c r="P40" i="1"/>
  <c r="D40" i="1"/>
  <c r="T39" i="1"/>
  <c r="S39" i="1"/>
  <c r="R39" i="1"/>
  <c r="Q39" i="1"/>
  <c r="P39" i="1"/>
  <c r="D39" i="1"/>
  <c r="T38" i="1"/>
  <c r="S38" i="1"/>
  <c r="R38" i="1"/>
  <c r="Q38" i="1"/>
  <c r="P38" i="1"/>
  <c r="D38" i="1"/>
  <c r="T37" i="1"/>
  <c r="S37" i="1"/>
  <c r="R37" i="1"/>
  <c r="Q37" i="1"/>
  <c r="P37" i="1"/>
  <c r="D37" i="1"/>
  <c r="T36" i="1"/>
  <c r="S36" i="1"/>
  <c r="R36" i="1"/>
  <c r="Q36" i="1"/>
  <c r="P36" i="1"/>
  <c r="D36" i="1"/>
  <c r="T35" i="1"/>
  <c r="S35" i="1"/>
  <c r="R35" i="1"/>
  <c r="Q35" i="1"/>
  <c r="P35" i="1"/>
  <c r="D35" i="1"/>
  <c r="T34" i="1"/>
  <c r="S34" i="1"/>
  <c r="P28" i="23" s="1"/>
  <c r="R34" i="1"/>
  <c r="P34" i="1"/>
  <c r="D34" i="1"/>
  <c r="T33" i="1"/>
  <c r="S33" i="1"/>
  <c r="R33" i="1"/>
  <c r="Q33" i="1"/>
  <c r="D33" i="1"/>
  <c r="C33" i="1"/>
  <c r="B30" i="1"/>
  <c r="A26" i="1"/>
  <c r="I2" i="11" l="1"/>
  <c r="G26" i="11"/>
  <c r="D24" i="19"/>
  <c r="E24" i="19" s="1"/>
  <c r="F24" i="19" s="1"/>
  <c r="P27" i="23"/>
  <c r="D26" i="19"/>
  <c r="E26" i="19" s="1"/>
  <c r="F26" i="19" s="1"/>
  <c r="P29" i="23"/>
  <c r="D27" i="19"/>
  <c r="E27" i="19" s="1"/>
  <c r="F27" i="19" s="1"/>
  <c r="P30" i="23"/>
  <c r="D28" i="19"/>
  <c r="E28" i="19" s="1"/>
  <c r="F28" i="19" s="1"/>
  <c r="P31" i="23"/>
  <c r="D29" i="19"/>
  <c r="E29" i="19" s="1"/>
  <c r="F29" i="19" s="1"/>
  <c r="P32" i="23"/>
  <c r="D31" i="19"/>
  <c r="E31" i="19" s="1"/>
  <c r="F31" i="19" s="1"/>
  <c r="P34" i="23"/>
  <c r="D32" i="19"/>
  <c r="E32" i="19" s="1"/>
  <c r="F32" i="19" s="1"/>
  <c r="P35" i="23"/>
  <c r="D30" i="19"/>
  <c r="E30" i="19" s="1"/>
  <c r="F30" i="19" s="1"/>
  <c r="P33" i="23"/>
  <c r="D25" i="19"/>
  <c r="E25" i="19" s="1"/>
  <c r="F25" i="19" s="1"/>
  <c r="H26" i="11"/>
  <c r="U38" i="1"/>
  <c r="W38" i="1" s="1"/>
  <c r="W32" i="23" s="1"/>
  <c r="Y32" i="23" s="1"/>
  <c r="U36" i="1"/>
  <c r="W36" i="1" s="1"/>
  <c r="W30" i="23" s="1"/>
  <c r="Y30" i="23" s="1"/>
  <c r="U35" i="1"/>
  <c r="W35" i="1" s="1"/>
  <c r="W29" i="23" s="1"/>
  <c r="Y29" i="23" s="1"/>
  <c r="U48" i="1"/>
  <c r="W48" i="1" s="1"/>
  <c r="X48" i="1" s="1"/>
  <c r="U47" i="1"/>
  <c r="W47" i="1" s="1"/>
  <c r="X47" i="1" s="1"/>
  <c r="U46" i="1"/>
  <c r="W46" i="1" s="1"/>
  <c r="AA46" i="1" s="1"/>
  <c r="U45" i="1"/>
  <c r="W45" i="1" s="1"/>
  <c r="X45" i="1" s="1"/>
  <c r="U44" i="1"/>
  <c r="W44" i="1" s="1"/>
  <c r="AA44" i="1" s="1"/>
  <c r="U43" i="1"/>
  <c r="W43" i="1" s="1"/>
  <c r="X43" i="1" s="1"/>
  <c r="U42" i="1"/>
  <c r="W42" i="1" s="1"/>
  <c r="U40" i="1"/>
  <c r="W40" i="1" s="1"/>
  <c r="W34" i="23" s="1"/>
  <c r="Y34" i="23" s="1"/>
  <c r="U41" i="1"/>
  <c r="W41" i="1" s="1"/>
  <c r="W35" i="23" s="1"/>
  <c r="Y35" i="23" s="1"/>
  <c r="U33" i="1"/>
  <c r="W33" i="1" s="1"/>
  <c r="U34" i="1"/>
  <c r="W34" i="1" s="1"/>
  <c r="W28" i="23" s="1"/>
  <c r="Y28" i="23" s="1"/>
  <c r="U39" i="1"/>
  <c r="W39" i="1" s="1"/>
  <c r="U37" i="1"/>
  <c r="W37" i="1" s="1"/>
  <c r="W31" i="23" s="1"/>
  <c r="Y31" i="23" s="1"/>
  <c r="W27" i="23" l="1"/>
  <c r="Y27" i="23" s="1"/>
  <c r="W33" i="23"/>
  <c r="Y33" i="23" s="1"/>
  <c r="X42" i="1"/>
  <c r="AB42" i="1" s="1"/>
  <c r="W40" i="23"/>
  <c r="Y40" i="23" s="1"/>
  <c r="AA37" i="1"/>
  <c r="K28" i="19"/>
  <c r="L28" i="19" s="1"/>
  <c r="AA38" i="1"/>
  <c r="K29" i="19"/>
  <c r="L29" i="19" s="1"/>
  <c r="X41" i="1"/>
  <c r="Z41" i="1" s="1"/>
  <c r="K32" i="19"/>
  <c r="L32" i="19" s="1"/>
  <c r="X34" i="1"/>
  <c r="Z34" i="1" s="1"/>
  <c r="K25" i="19"/>
  <c r="L25" i="19" s="1"/>
  <c r="AA40" i="1"/>
  <c r="K31" i="19"/>
  <c r="L31" i="19" s="1"/>
  <c r="X36" i="1"/>
  <c r="Z36" i="1" s="1"/>
  <c r="K27" i="19"/>
  <c r="L27" i="19" s="1"/>
  <c r="X33" i="1"/>
  <c r="AB33" i="1" s="1"/>
  <c r="K24" i="19"/>
  <c r="L24" i="19" s="1"/>
  <c r="AA39" i="1"/>
  <c r="K30" i="19"/>
  <c r="L30" i="19" s="1"/>
  <c r="AA35" i="1"/>
  <c r="K26" i="19"/>
  <c r="L26" i="19" s="1"/>
  <c r="X38" i="1"/>
  <c r="Z38" i="1" s="1"/>
  <c r="AA36" i="1"/>
  <c r="X35" i="1"/>
  <c r="AB35" i="1" s="1"/>
  <c r="AA48" i="1"/>
  <c r="Z48" i="1"/>
  <c r="AB48" i="1"/>
  <c r="AA47" i="1"/>
  <c r="AB47" i="1"/>
  <c r="Z47" i="1"/>
  <c r="X46" i="1"/>
  <c r="Z46" i="1" s="1"/>
  <c r="AA45" i="1"/>
  <c r="Z45" i="1"/>
  <c r="AB45" i="1"/>
  <c r="AB43" i="1"/>
  <c r="Z43" i="1"/>
  <c r="AA43" i="1"/>
  <c r="AA42" i="1"/>
  <c r="AA41" i="1"/>
  <c r="AA33" i="1"/>
  <c r="AA34" i="1"/>
  <c r="Z42" i="1" l="1"/>
  <c r="AB34" i="1"/>
  <c r="Y41" i="23"/>
  <c r="Z33" i="1"/>
  <c r="AB41" i="1"/>
  <c r="AB36" i="1"/>
  <c r="L34" i="19"/>
  <c r="L39" i="19" s="1"/>
  <c r="AA50" i="1"/>
  <c r="AB38" i="1"/>
  <c r="Z35" i="1"/>
  <c r="AB46" i="1"/>
</calcChain>
</file>

<file path=xl/comments1.xml><?xml version="1.0" encoding="utf-8"?>
<comments xmlns="http://schemas.openxmlformats.org/spreadsheetml/2006/main">
  <authors>
    <author>Richard Pullman</author>
  </authors>
  <commentList>
    <comment ref="D21" authorId="0">
      <text>
        <r>
          <rPr>
            <b/>
            <sz val="9"/>
            <color indexed="81"/>
            <rFont val="Tahoma"/>
            <family val="2"/>
          </rPr>
          <t>Richard Pullman:</t>
        </r>
        <r>
          <rPr>
            <sz val="9"/>
            <color indexed="81"/>
            <rFont val="Tahoma"/>
            <family val="2"/>
          </rPr>
          <t xml:space="preserve">
Only Enter This Data if you are not shipping to the bill to address</t>
        </r>
      </text>
    </comment>
  </commentList>
</comments>
</file>

<file path=xl/comments2.xml><?xml version="1.0" encoding="utf-8"?>
<comments xmlns="http://schemas.openxmlformats.org/spreadsheetml/2006/main">
  <authors>
    <author>Richard Pullman</author>
  </authors>
  <commentList>
    <comment ref="A30" authorId="0">
      <text>
        <r>
          <rPr>
            <b/>
            <sz val="14"/>
            <color indexed="81"/>
            <rFont val="Cambria"/>
            <family val="1"/>
            <scheme val="major"/>
          </rPr>
          <t xml:space="preserve">Feature: 
</t>
        </r>
        <r>
          <rPr>
            <sz val="14"/>
            <color indexed="81"/>
            <rFont val="Cambria"/>
            <family val="1"/>
            <scheme val="major"/>
          </rPr>
          <t xml:space="preserve">Have you entered lines on this order which you want to delete? Click here to Eliminate the lines corresponding to the checkboxes you've selected. The (De)Select All Button will alternate between selecting and deselecting all of the checkboxes </t>
        </r>
      </text>
    </comment>
    <comment ref="C30" authorId="0">
      <text>
        <r>
          <rPr>
            <b/>
            <sz val="14"/>
            <color indexed="81"/>
            <rFont val="Cambria"/>
            <family val="1"/>
            <scheme val="major"/>
          </rPr>
          <t>Feature:</t>
        </r>
        <r>
          <rPr>
            <sz val="14"/>
            <color indexed="81"/>
            <rFont val="Cambria"/>
            <family val="1"/>
            <scheme val="major"/>
          </rPr>
          <t xml:space="preserve"> Click here to add a row to the bottom of the form in the event that you need room for more line items. Don't delete rows you've added later because it will cause errors</t>
        </r>
      </text>
    </comment>
    <comment ref="E30" authorId="0">
      <text>
        <r>
          <rPr>
            <b/>
            <sz val="14"/>
            <color indexed="81"/>
            <rFont val="Cambria"/>
            <family val="1"/>
            <scheme val="major"/>
          </rPr>
          <t xml:space="preserve">Feature: </t>
        </r>
        <r>
          <rPr>
            <sz val="14"/>
            <color indexed="81"/>
            <rFont val="Cambria"/>
            <family val="1"/>
            <scheme val="major"/>
          </rPr>
          <t>Once you have selected the equipment you wish to order click here to submit your order to your Sales Rep. Your order will be electronically reviewed for erroneous entry and you will be notified if changes are required.</t>
        </r>
      </text>
    </comment>
    <comment ref="A31" authorId="0">
      <text>
        <r>
          <rPr>
            <b/>
            <sz val="14"/>
            <color indexed="81"/>
            <rFont val="Cambria"/>
            <family val="1"/>
            <scheme val="major"/>
          </rPr>
          <t xml:space="preserve">Feature: </t>
        </r>
        <r>
          <rPr>
            <sz val="14"/>
            <color indexed="81"/>
            <rFont val="Cambria"/>
            <family val="1"/>
            <scheme val="major"/>
          </rPr>
          <t xml:space="preserve">You can delete the  rows you've added but you cannot reduce the number of rows  to fewer than 18. </t>
        </r>
      </text>
    </comment>
    <comment ref="C31" authorId="0">
      <text>
        <r>
          <rPr>
            <b/>
            <sz val="12"/>
            <color indexed="81"/>
            <rFont val="Cambria"/>
            <family val="1"/>
            <scheme val="major"/>
          </rPr>
          <t>Note:</t>
        </r>
        <r>
          <rPr>
            <sz val="12"/>
            <color indexed="81"/>
            <rFont val="Cambria"/>
            <family val="1"/>
            <scheme val="major"/>
          </rPr>
          <t xml:space="preserve">
Active Discount indicated by Orange Cell Fill</t>
        </r>
      </text>
    </comment>
    <comment ref="E31" authorId="0">
      <text>
        <r>
          <rPr>
            <b/>
            <sz val="14"/>
            <color indexed="81"/>
            <rFont val="Cambria"/>
            <family val="1"/>
            <scheme val="major"/>
          </rPr>
          <t xml:space="preserve">Note: </t>
        </r>
        <r>
          <rPr>
            <sz val="14"/>
            <color indexed="81"/>
            <rFont val="Cambria"/>
            <family val="1"/>
            <scheme val="major"/>
          </rPr>
          <t>Pressing this button will clear any red ovals / circles appearing on the page.  Those circles are there to indicate that you have made an invalid selection, or left the Item # or Quantity on the order blank.</t>
        </r>
      </text>
    </comment>
    <comment ref="K32" authorId="0">
      <text>
        <r>
          <rPr>
            <b/>
            <sz val="14"/>
            <color indexed="81"/>
            <rFont val="Cambria"/>
            <family val="1"/>
            <scheme val="major"/>
          </rPr>
          <t xml:space="preserve">Note: </t>
        </r>
        <r>
          <rPr>
            <sz val="14"/>
            <color indexed="81"/>
            <rFont val="Cambria"/>
            <family val="1"/>
            <scheme val="major"/>
          </rPr>
          <t xml:space="preserve">Options Include  Delivery Systems and Mounting Kits 
</t>
        </r>
        <r>
          <rPr>
            <b/>
            <sz val="14"/>
            <color indexed="81"/>
            <rFont val="Cambria"/>
            <family val="1"/>
            <scheme val="major"/>
          </rPr>
          <t xml:space="preserve">Note: </t>
        </r>
        <r>
          <rPr>
            <sz val="14"/>
            <color indexed="81"/>
            <rFont val="Cambria"/>
            <family val="1"/>
            <scheme val="major"/>
          </rPr>
          <t>To delete a selected piece of equipment press the delete key on your keyboard</t>
        </r>
      </text>
    </comment>
    <comment ref="M32" authorId="0">
      <text>
        <r>
          <rPr>
            <b/>
            <sz val="16"/>
            <color indexed="81"/>
            <rFont val="Cambria"/>
            <family val="1"/>
            <scheme val="major"/>
          </rPr>
          <t>Note:</t>
        </r>
        <r>
          <rPr>
            <sz val="16"/>
            <color indexed="81"/>
            <rFont val="Cambria"/>
            <family val="1"/>
            <scheme val="major"/>
          </rPr>
          <t xml:space="preserve"> If you're going to  mount a type of equipment different ways please include each way as a separate line item. Also, if you choose an option here please be sure to add it to your order on its own line.</t>
        </r>
      </text>
    </comment>
  </commentList>
</comments>
</file>

<file path=xl/comments3.xml><?xml version="1.0" encoding="utf-8"?>
<comments xmlns="http://schemas.openxmlformats.org/spreadsheetml/2006/main">
  <authors>
    <author>Richard Pullman</author>
  </authors>
  <commentList>
    <comment ref="V2" authorId="0">
      <text>
        <r>
          <rPr>
            <b/>
            <sz val="9"/>
            <color indexed="81"/>
            <rFont val="Tahoma"/>
            <family val="2"/>
          </rPr>
          <t>Richard Pullman:</t>
        </r>
        <r>
          <rPr>
            <sz val="9"/>
            <color indexed="81"/>
            <rFont val="Tahoma"/>
            <family val="2"/>
          </rPr>
          <t xml:space="preserve">
Eco-Sys are </t>
        </r>
      </text>
    </comment>
    <comment ref="AI3" authorId="0">
      <text>
        <r>
          <rPr>
            <b/>
            <sz val="9"/>
            <color indexed="81"/>
            <rFont val="Tahoma"/>
            <family val="2"/>
          </rPr>
          <t>Richard Pullman:</t>
        </r>
        <r>
          <rPr>
            <sz val="9"/>
            <color indexed="81"/>
            <rFont val="Tahoma"/>
            <family val="2"/>
          </rPr>
          <t xml:space="preserve">
Check the guide to see where you can mount this item. </t>
        </r>
      </text>
    </comment>
    <comment ref="AL3" authorId="0">
      <text>
        <r>
          <rPr>
            <b/>
            <sz val="9"/>
            <color indexed="81"/>
            <rFont val="Tahoma"/>
            <family val="2"/>
          </rPr>
          <t>Richard Pullman:</t>
        </r>
        <r>
          <rPr>
            <sz val="9"/>
            <color indexed="81"/>
            <rFont val="Tahoma"/>
            <family val="2"/>
          </rPr>
          <t xml:space="preserve">
Mounts to Q-5000 Compatible with others</t>
        </r>
      </text>
    </comment>
    <comment ref="AD5" authorId="0">
      <text>
        <r>
          <rPr>
            <b/>
            <sz val="9"/>
            <color indexed="81"/>
            <rFont val="Tahoma"/>
            <family val="2"/>
          </rPr>
          <t>Richard Pullman:</t>
        </r>
        <r>
          <rPr>
            <sz val="9"/>
            <color indexed="81"/>
            <rFont val="Tahoma"/>
            <family val="2"/>
          </rPr>
          <t xml:space="preserve">
</t>
        </r>
      </text>
    </comment>
    <comment ref="T7" authorId="0">
      <text>
        <r>
          <rPr>
            <b/>
            <sz val="9"/>
            <color indexed="81"/>
            <rFont val="Tahoma"/>
            <family val="2"/>
          </rPr>
          <t>Richard Pullman:</t>
        </r>
        <r>
          <rPr>
            <sz val="9"/>
            <color indexed="81"/>
            <rFont val="Tahoma"/>
            <family val="2"/>
          </rPr>
          <t xml:space="preserve">
what?</t>
        </r>
      </text>
    </comment>
  </commentList>
</comments>
</file>

<file path=xl/comments4.xml><?xml version="1.0" encoding="utf-8"?>
<comments xmlns="http://schemas.openxmlformats.org/spreadsheetml/2006/main">
  <authors>
    <author>Richard Pullman</author>
  </authors>
  <commentList>
    <comment ref="F23" authorId="0">
      <text>
        <r>
          <rPr>
            <b/>
            <sz val="9"/>
            <color indexed="81"/>
            <rFont val="Tahoma"/>
            <family val="2"/>
          </rPr>
          <t>Richard Pullman:</t>
        </r>
        <r>
          <rPr>
            <sz val="9"/>
            <color indexed="81"/>
            <rFont val="Tahoma"/>
            <family val="2"/>
          </rPr>
          <t xml:space="preserve">
What is UOM</t>
        </r>
      </text>
    </comment>
    <comment ref="G23" authorId="0">
      <text>
        <r>
          <rPr>
            <b/>
            <sz val="9"/>
            <color indexed="81"/>
            <rFont val="Tahoma"/>
            <family val="2"/>
          </rPr>
          <t>Richard Pullman:</t>
        </r>
        <r>
          <rPr>
            <sz val="9"/>
            <color indexed="81"/>
            <rFont val="Tahoma"/>
            <family val="2"/>
          </rPr>
          <t xml:space="preserve">
Aka Qty</t>
        </r>
      </text>
    </comment>
    <comment ref="H23" authorId="0">
      <text>
        <r>
          <rPr>
            <b/>
            <sz val="9"/>
            <color indexed="81"/>
            <rFont val="Tahoma"/>
            <family val="2"/>
          </rPr>
          <t>Richard Pullman:</t>
        </r>
        <r>
          <rPr>
            <sz val="9"/>
            <color indexed="81"/>
            <rFont val="Tahoma"/>
            <family val="2"/>
          </rPr>
          <t xml:space="preserve">
What does this mean? I see 0 for all. Does that mean it hasn't yet been invoiced?</t>
        </r>
      </text>
    </comment>
    <comment ref="I23" authorId="0">
      <text>
        <r>
          <rPr>
            <b/>
            <sz val="9"/>
            <color indexed="81"/>
            <rFont val="Tahoma"/>
            <family val="2"/>
          </rPr>
          <t>Richard Pullman:</t>
        </r>
        <r>
          <rPr>
            <sz val="9"/>
            <color indexed="81"/>
            <rFont val="Tahoma"/>
            <family val="2"/>
          </rPr>
          <t xml:space="preserve">
What is this?</t>
        </r>
      </text>
    </comment>
    <comment ref="J23" authorId="0">
      <text>
        <r>
          <rPr>
            <b/>
            <sz val="9"/>
            <color indexed="81"/>
            <rFont val="Tahoma"/>
            <family val="2"/>
          </rPr>
          <t>Richard Pullman:</t>
        </r>
        <r>
          <rPr>
            <sz val="9"/>
            <color indexed="81"/>
            <rFont val="Tahoma"/>
            <family val="2"/>
          </rPr>
          <t xml:space="preserve">
What is this?</t>
        </r>
      </text>
    </comment>
  </commentList>
</comments>
</file>

<file path=xl/comments5.xml><?xml version="1.0" encoding="utf-8"?>
<comments xmlns="http://schemas.openxmlformats.org/spreadsheetml/2006/main">
  <authors>
    <author>Richard Pullman</author>
  </authors>
  <commentList>
    <comment ref="C2" authorId="0">
      <text>
        <r>
          <rPr>
            <b/>
            <sz val="9"/>
            <color indexed="81"/>
            <rFont val="Tahoma"/>
            <family val="2"/>
          </rPr>
          <t>Richard Pullman:</t>
        </r>
        <r>
          <rPr>
            <sz val="9"/>
            <color indexed="81"/>
            <rFont val="Tahoma"/>
            <family val="2"/>
          </rPr>
          <t xml:space="preserve">
Take not applicable ones off the list</t>
        </r>
      </text>
    </comment>
    <comment ref="I24" authorId="0">
      <text>
        <r>
          <rPr>
            <b/>
            <sz val="9"/>
            <color indexed="81"/>
            <rFont val="Tahoma"/>
            <family val="2"/>
          </rPr>
          <t>Richard Pullman:</t>
        </r>
        <r>
          <rPr>
            <sz val="9"/>
            <color indexed="81"/>
            <rFont val="Tahoma"/>
            <family val="2"/>
          </rPr>
          <t xml:space="preserve">
Does this unit require a special adapter for mounting to the 037N?</t>
        </r>
      </text>
    </comment>
    <comment ref="F53" authorId="0">
      <text>
        <r>
          <rPr>
            <b/>
            <sz val="9"/>
            <color indexed="81"/>
            <rFont val="Tahoma"/>
            <family val="2"/>
          </rPr>
          <t>Richard Pullman:</t>
        </r>
        <r>
          <rPr>
            <sz val="9"/>
            <color indexed="81"/>
            <rFont val="Tahoma"/>
            <family val="2"/>
          </rPr>
          <t xml:space="preserve">
Why are these incompatible</t>
        </r>
      </text>
    </comment>
  </commentList>
</comments>
</file>

<file path=xl/comments6.xml><?xml version="1.0" encoding="utf-8"?>
<comments xmlns="http://schemas.openxmlformats.org/spreadsheetml/2006/main">
  <authors>
    <author>Richard Pullman</author>
  </authors>
  <commentList>
    <comment ref="D2" authorId="0">
      <text>
        <r>
          <rPr>
            <b/>
            <sz val="9"/>
            <color indexed="81"/>
            <rFont val="Tahoma"/>
            <family val="2"/>
          </rPr>
          <t>Richard Pullman:</t>
        </r>
        <r>
          <rPr>
            <sz val="9"/>
            <color indexed="81"/>
            <rFont val="Tahoma"/>
            <family val="2"/>
          </rPr>
          <t xml:space="preserve">
Start by choosing the dimensions available for installation of your Steri Unit- please leave adequate space for workers and passersby.</t>
        </r>
      </text>
    </comment>
    <comment ref="B6" authorId="0">
      <text>
        <r>
          <rPr>
            <b/>
            <sz val="9"/>
            <color indexed="81"/>
            <rFont val="Tahoma"/>
            <family val="2"/>
          </rPr>
          <t>Richard Pullman:</t>
        </r>
        <r>
          <rPr>
            <sz val="9"/>
            <color indexed="81"/>
            <rFont val="Tahoma"/>
            <family val="2"/>
          </rPr>
          <t xml:space="preserve">
Step 2: Select the Cabinetry Modules you want to add to your Steri Unit</t>
        </r>
      </text>
    </comment>
  </commentList>
</comments>
</file>

<file path=xl/comments7.xml><?xml version="1.0" encoding="utf-8"?>
<comments xmlns="http://schemas.openxmlformats.org/spreadsheetml/2006/main">
  <authors>
    <author>Richard Pullman</author>
  </authors>
  <commentList>
    <comment ref="C3" authorId="0">
      <text>
        <r>
          <rPr>
            <b/>
            <sz val="9"/>
            <color indexed="81"/>
            <rFont val="Tahoma"/>
            <family val="2"/>
          </rPr>
          <t>Richard Pullman:</t>
        </r>
        <r>
          <rPr>
            <sz val="9"/>
            <color indexed="81"/>
            <rFont val="Tahoma"/>
            <family val="2"/>
          </rPr>
          <t xml:space="preserve">
Do these chairs have the appropriate styles available and do the styles have the appropriate options and colors that correspond to them?</t>
        </r>
      </text>
    </comment>
    <comment ref="C4" authorId="0">
      <text>
        <r>
          <rPr>
            <b/>
            <sz val="9"/>
            <color indexed="81"/>
            <rFont val="Tahoma"/>
            <family val="2"/>
          </rPr>
          <t>Richard Pullman:</t>
        </r>
        <r>
          <rPr>
            <sz val="9"/>
            <color indexed="81"/>
            <rFont val="Tahoma"/>
            <family val="2"/>
          </rPr>
          <t xml:space="preserve">
Add your notes to any errors or missing options or options which aren't available but listed.
For Pricing, ensure that the pricing of the options, the styles, colors, etc conform to the Retail Price Book and to Great Plains pricing</t>
        </r>
      </text>
    </comment>
  </commentList>
</comments>
</file>

<file path=xl/sharedStrings.xml><?xml version="1.0" encoding="utf-8"?>
<sst xmlns="http://schemas.openxmlformats.org/spreadsheetml/2006/main" count="10825" uniqueCount="2489">
  <si>
    <t>Description</t>
  </si>
  <si>
    <t>Discount Levels</t>
  </si>
  <si>
    <t>Quantity</t>
  </si>
  <si>
    <t>Sell Price</t>
  </si>
  <si>
    <t>Margin</t>
  </si>
  <si>
    <t>Discount</t>
  </si>
  <si>
    <t>Total Cost</t>
  </si>
  <si>
    <t>Totals</t>
  </si>
  <si>
    <t>Total Sell Price</t>
  </si>
  <si>
    <t>90-055</t>
  </si>
  <si>
    <t>ECO-6</t>
  </si>
  <si>
    <t>RELEASED COPY/ 113012</t>
  </si>
  <si>
    <t>Rev 061213 E-155                                               Retail from $17, 750.                                          92-206 descrip. From LED Task lighting/light.                                                      92-420 -2added &amp; Retail from $1618.00  92-450  -2added &amp; Retail from $2,122  Add 92-710 &amp; 92-810   Add GS-1, GS-3, WP-1</t>
  </si>
  <si>
    <t>Master Retail Price Book Items</t>
  </si>
  <si>
    <t>Jan. 1, 2013                   Retail Price</t>
  </si>
  <si>
    <t>Discount Notes:</t>
  </si>
  <si>
    <t>Q-5000</t>
  </si>
  <si>
    <r>
      <t>Chair, Quolis™ , (</t>
    </r>
    <r>
      <rPr>
        <b/>
        <sz val="9"/>
        <rFont val="Arial"/>
        <family val="2"/>
      </rPr>
      <t>QSS</t>
    </r>
    <r>
      <rPr>
        <sz val="9"/>
        <rFont val="Arial"/>
        <family val="2"/>
      </rPr>
      <t xml:space="preserve"> &amp;</t>
    </r>
    <r>
      <rPr>
        <b/>
        <sz val="9"/>
        <rFont val="Arial"/>
        <family val="2"/>
      </rPr>
      <t xml:space="preserve"> QSW</t>
    </r>
    <r>
      <rPr>
        <sz val="9"/>
        <rFont val="Arial"/>
        <family val="2"/>
      </rPr>
      <t xml:space="preserve"> styles W/</t>
    </r>
    <r>
      <rPr>
        <b/>
        <i/>
        <sz val="9"/>
        <rFont val="Arial"/>
        <family val="2"/>
      </rPr>
      <t xml:space="preserve"> Ultraleather™</t>
    </r>
    <r>
      <rPr>
        <sz val="9"/>
        <rFont val="Arial"/>
        <family val="2"/>
      </rPr>
      <t xml:space="preserve"> Upholstery, </t>
    </r>
    <r>
      <rPr>
        <b/>
        <sz val="9"/>
        <rFont val="Arial"/>
        <family val="2"/>
      </rPr>
      <t>Std. Colors</t>
    </r>
    <r>
      <rPr>
        <sz val="9"/>
        <rFont val="Arial"/>
        <family val="2"/>
      </rPr>
      <t>)</t>
    </r>
  </si>
  <si>
    <t>037N</t>
  </si>
  <si>
    <r>
      <t xml:space="preserve">Chair, PRO II, (W/ </t>
    </r>
    <r>
      <rPr>
        <b/>
        <i/>
        <sz val="9"/>
        <rFont val="Arial"/>
        <family val="2"/>
      </rPr>
      <t>Duration</t>
    </r>
    <r>
      <rPr>
        <sz val="9"/>
        <rFont val="Arial"/>
        <family val="2"/>
      </rPr>
      <t xml:space="preserve"> Upholstery, </t>
    </r>
    <r>
      <rPr>
        <b/>
        <sz val="9"/>
        <rFont val="Arial"/>
        <family val="2"/>
      </rPr>
      <t>Std. Colors</t>
    </r>
    <r>
      <rPr>
        <sz val="9"/>
        <rFont val="Arial"/>
        <family val="2"/>
      </rPr>
      <t>)</t>
    </r>
  </si>
  <si>
    <t>B-50</t>
  </si>
  <si>
    <r>
      <t xml:space="preserve">Chair, X-Calibur V, (W/ </t>
    </r>
    <r>
      <rPr>
        <b/>
        <i/>
        <sz val="9"/>
        <rFont val="Arial"/>
        <family val="2"/>
      </rPr>
      <t>Duration</t>
    </r>
    <r>
      <rPr>
        <sz val="9"/>
        <rFont val="Arial"/>
        <family val="2"/>
      </rPr>
      <t xml:space="preserve"> Upholstery, </t>
    </r>
    <r>
      <rPr>
        <b/>
        <sz val="9"/>
        <rFont val="Arial"/>
        <family val="2"/>
      </rPr>
      <t>Std. Colors</t>
    </r>
    <r>
      <rPr>
        <sz val="9"/>
        <rFont val="Arial"/>
        <family val="2"/>
      </rPr>
      <t>)</t>
    </r>
  </si>
  <si>
    <t>B-20N</t>
  </si>
  <si>
    <r>
      <t xml:space="preserve">Chair, X-Calibur, (W/ </t>
    </r>
    <r>
      <rPr>
        <b/>
        <i/>
        <sz val="9"/>
        <rFont val="Arial"/>
        <family val="2"/>
      </rPr>
      <t>Duration</t>
    </r>
    <r>
      <rPr>
        <sz val="9"/>
        <rFont val="Arial"/>
        <family val="2"/>
      </rPr>
      <t xml:space="preserve"> Upholstery, </t>
    </r>
    <r>
      <rPr>
        <b/>
        <sz val="9"/>
        <rFont val="Arial"/>
        <family val="2"/>
      </rPr>
      <t>Std. Colors</t>
    </r>
    <r>
      <rPr>
        <sz val="9"/>
        <rFont val="Arial"/>
        <family val="2"/>
      </rPr>
      <t>)</t>
    </r>
  </si>
  <si>
    <r>
      <t xml:space="preserve">Stool, Doctor, Memory Foam, 18"-24" height, </t>
    </r>
    <r>
      <rPr>
        <b/>
        <i/>
        <sz val="9"/>
        <rFont val="Arial"/>
        <family val="2"/>
      </rPr>
      <t>Duration</t>
    </r>
    <r>
      <rPr>
        <sz val="9"/>
        <rFont val="Arial"/>
        <family val="2"/>
      </rPr>
      <t xml:space="preserve">, </t>
    </r>
    <r>
      <rPr>
        <b/>
        <sz val="9"/>
        <rFont val="Arial"/>
        <family val="2"/>
      </rPr>
      <t>Std. Colors</t>
    </r>
  </si>
  <si>
    <r>
      <t>Stool, Assistant, Memory Foam, 20"-26" height,</t>
    </r>
    <r>
      <rPr>
        <i/>
        <sz val="9"/>
        <rFont val="Arial"/>
        <family val="2"/>
      </rPr>
      <t xml:space="preserve"> </t>
    </r>
    <r>
      <rPr>
        <b/>
        <i/>
        <sz val="9"/>
        <rFont val="Arial"/>
        <family val="2"/>
      </rPr>
      <t>Duration</t>
    </r>
    <r>
      <rPr>
        <sz val="9"/>
        <rFont val="Arial"/>
        <family val="2"/>
      </rPr>
      <t xml:space="preserve">, </t>
    </r>
    <r>
      <rPr>
        <b/>
        <sz val="9"/>
        <rFont val="Arial"/>
        <family val="2"/>
      </rPr>
      <t>Std. Colors</t>
    </r>
    <r>
      <rPr>
        <sz val="9"/>
        <rFont val="Arial"/>
        <family val="2"/>
      </rPr>
      <t xml:space="preserve">                                                                                                                                         (Specify right or left hand armrest)</t>
    </r>
  </si>
  <si>
    <t>090</t>
  </si>
  <si>
    <r>
      <t xml:space="preserve">Stool, Doctor, 18"-24" height, </t>
    </r>
    <r>
      <rPr>
        <b/>
        <i/>
        <sz val="9"/>
        <rFont val="Arial"/>
        <family val="2"/>
      </rPr>
      <t>Duration</t>
    </r>
    <r>
      <rPr>
        <sz val="9"/>
        <rFont val="Arial"/>
        <family val="2"/>
      </rPr>
      <t xml:space="preserve">, </t>
    </r>
    <r>
      <rPr>
        <b/>
        <sz val="9"/>
        <rFont val="Arial"/>
        <family val="2"/>
      </rPr>
      <t>Std. Colors</t>
    </r>
    <r>
      <rPr>
        <sz val="9"/>
        <rFont val="Arial"/>
        <family val="2"/>
      </rPr>
      <t xml:space="preserve"> </t>
    </r>
  </si>
  <si>
    <t>091</t>
  </si>
  <si>
    <r>
      <t xml:space="preserve">Stool, Assistant, 20"-26" height, </t>
    </r>
    <r>
      <rPr>
        <b/>
        <i/>
        <sz val="9"/>
        <rFont val="Arial"/>
        <family val="2"/>
      </rPr>
      <t>Duration</t>
    </r>
    <r>
      <rPr>
        <sz val="9"/>
        <rFont val="Arial"/>
        <family val="2"/>
      </rPr>
      <t xml:space="preserve">, </t>
    </r>
    <r>
      <rPr>
        <b/>
        <sz val="9"/>
        <rFont val="Arial"/>
        <family val="2"/>
      </rPr>
      <t xml:space="preserve">Std. Colors </t>
    </r>
    <r>
      <rPr>
        <sz val="9"/>
        <rFont val="Arial"/>
        <family val="2"/>
      </rPr>
      <t xml:space="preserve">                                                                                                                                                   (Specify right or left hand armrest)</t>
    </r>
  </si>
  <si>
    <t>080</t>
  </si>
  <si>
    <r>
      <t xml:space="preserve">Stool, Doctor, 18"-24" height, </t>
    </r>
    <r>
      <rPr>
        <b/>
        <i/>
        <sz val="9"/>
        <rFont val="Arial"/>
        <family val="2"/>
      </rPr>
      <t>Duration</t>
    </r>
    <r>
      <rPr>
        <sz val="9"/>
        <rFont val="Arial"/>
        <family val="2"/>
      </rPr>
      <t xml:space="preserve">, </t>
    </r>
    <r>
      <rPr>
        <b/>
        <sz val="9"/>
        <rFont val="Arial"/>
        <family val="2"/>
      </rPr>
      <t>Std. Colors</t>
    </r>
  </si>
  <si>
    <t>081</t>
  </si>
  <si>
    <r>
      <t xml:space="preserve">Stool, Assistant, 20"-26" height, </t>
    </r>
    <r>
      <rPr>
        <b/>
        <i/>
        <sz val="9"/>
        <rFont val="Arial"/>
        <family val="2"/>
      </rPr>
      <t xml:space="preserve"> Duration</t>
    </r>
    <r>
      <rPr>
        <sz val="9"/>
        <rFont val="Arial"/>
        <family val="2"/>
      </rPr>
      <t xml:space="preserve">, </t>
    </r>
    <r>
      <rPr>
        <b/>
        <sz val="9"/>
        <rFont val="Arial"/>
        <family val="2"/>
      </rPr>
      <t>Std. Colors</t>
    </r>
    <r>
      <rPr>
        <sz val="9"/>
        <rFont val="Arial"/>
        <family val="2"/>
      </rPr>
      <t xml:space="preserve">                                                                                                                                           (Specify right or left hand armrest)</t>
    </r>
  </si>
  <si>
    <t>IT2ES-C8X5-MW</t>
  </si>
  <si>
    <t>Arm Support with 8 x 8 ceiling plate, 5" suspension post for high position only</t>
  </si>
  <si>
    <t>IT2ES-C8X12-MW</t>
  </si>
  <si>
    <t>Arm Support with 8 x 8 ceiling plate, 12" suspension post for 8 ft celing</t>
  </si>
  <si>
    <t>IT2ES-C8X24-MW</t>
  </si>
  <si>
    <t>Arm Support with 8 x 8 ceiling plate, 24" suspension post for 9 ft celing</t>
  </si>
  <si>
    <t>IT2ES-C8X36-MW</t>
  </si>
  <si>
    <t>Arm Support with 8 x 8 ceiling plate, 36" suspension post for 10 ft celing</t>
  </si>
  <si>
    <t>QDU-5870</t>
  </si>
  <si>
    <t>Delivery System, Swing-Mounted Dr. Cntl. With AL820 Light, Vac Pac &amp; J-Box</t>
  </si>
  <si>
    <t>QDU-5871</t>
  </si>
  <si>
    <t>Delivery System, Swing-Mounted Dr. Cntl. With AL920Q Bel-Halo LED Light, Vac Pac &amp; J-Box</t>
  </si>
  <si>
    <t>QDU-5875</t>
  </si>
  <si>
    <t>Delivery System, Swing-Mounted Dr. Cntl. With Vac Pac &amp; J-Box</t>
  </si>
  <si>
    <t>QDU-5879</t>
  </si>
  <si>
    <t>Delivery System, Swing-Mounted Dr. Cntl. With Monitor Arm and mount, Vac Pac &amp; J-Box</t>
  </si>
  <si>
    <t>QDU-5670</t>
  </si>
  <si>
    <t>Delivery System, Swing-Mounted Dr. Cntl. With AL820 Light &amp; J-Box</t>
  </si>
  <si>
    <t>QDU-5671</t>
  </si>
  <si>
    <t>Delivery System, Swing-Mounted Dr. Cntl. With AL920Q Bel-Halo LED Light &amp; J-Box</t>
  </si>
  <si>
    <t>QDU-5675</t>
  </si>
  <si>
    <t>Delivery System, Swing-Mounted Dr. Cntl. With J-Box</t>
  </si>
  <si>
    <t>QDU-5679</t>
  </si>
  <si>
    <t>Delivery System, Swing-Mounted Dr. Cntl. With Monitor Arm, mount,&amp; J-Box</t>
  </si>
  <si>
    <t>QDU-5370</t>
  </si>
  <si>
    <t>Delivery System, Swing-Mounted Dr. Cntl. With AL820 Light, L/R Cuspidor,  Asst. Instrument Arm &amp; J-Box</t>
  </si>
  <si>
    <t>QDU-5371</t>
  </si>
  <si>
    <t>Delivery System, Swing-Mounted Dr. Cntl. With AL920Q Bel-Halo LED Light, L/R Cuspidor,  Asst. Instrument Arm &amp; J-Box</t>
  </si>
  <si>
    <t>QDU-5375</t>
  </si>
  <si>
    <t>Delivery System, Swing-Mounted Dr. Cntl. With L/R Cuspidor,  Asst. Instrument Arm &amp; J-Box</t>
  </si>
  <si>
    <t>QDU-5379</t>
  </si>
  <si>
    <t>Delivery System, Swing-Mounted Dr. Cntl. With Monitor Arm , L/R Cuspidor,  Asst. Instrument Arm &amp; J-Box</t>
  </si>
  <si>
    <t>QDU-5470</t>
  </si>
  <si>
    <t>Delivery System, Swing-Mounted Dr. Cntl. With AL820 Light, L/R Cuspidor &amp; J-Box</t>
  </si>
  <si>
    <t>QDU-5471</t>
  </si>
  <si>
    <t>Delivery System, Swing-Mounted Dr. Cntl. With AL920Q Bel-Halo Light, L/R Cuspidor &amp; J-Box</t>
  </si>
  <si>
    <t>QDU-5475</t>
  </si>
  <si>
    <t>Delivery System, Swing-Mounted Dr. Cntl. With L/R Cuspidor &amp; J-Box</t>
  </si>
  <si>
    <t>QDU-5479</t>
  </si>
  <si>
    <t>Delivery System, Swing-Mounted Dr. Cntl. With Monitor Arm , L/R Cuspidor &amp; J-Box</t>
  </si>
  <si>
    <t>QDU-5300</t>
  </si>
  <si>
    <t>Quolis L/R Cuspidor with Assistant Instrument Arm</t>
  </si>
  <si>
    <t>QDU-5400</t>
  </si>
  <si>
    <t>Quolis L/R Cuspidor</t>
  </si>
  <si>
    <t>QDU-5690</t>
  </si>
  <si>
    <t xml:space="preserve">Monitor Arm with Flat Panel Mount and Q-5000 Chair Adapter ,Swing-Mounted </t>
  </si>
  <si>
    <t>QDU-5800</t>
  </si>
  <si>
    <t>Assistant Vac Pac for Quolis chairs with touch pad</t>
  </si>
  <si>
    <t>BDS-2500</t>
  </si>
  <si>
    <t>Delivery System, Over-the Patient, Cuspidor, Assistant Arm</t>
  </si>
  <si>
    <t>BDS-2505</t>
  </si>
  <si>
    <t>Delivery System, Over-the Patient, Cuspidor</t>
  </si>
  <si>
    <t>BDS-2510</t>
  </si>
  <si>
    <t>Delivery System, Over-the Patient, Assistant Arm</t>
  </si>
  <si>
    <t>BDS-2515</t>
  </si>
  <si>
    <t>Delivery System, Over-the Patient</t>
  </si>
  <si>
    <t>BDS-2520</t>
  </si>
  <si>
    <t>Cuspidor/Post-Mounted Utilities w/ Assistant Arm</t>
  </si>
  <si>
    <t>BDS-2575</t>
  </si>
  <si>
    <t>Delivery System, Swing-Mounted, Dr Cntl.</t>
  </si>
  <si>
    <t>BDS-2570</t>
  </si>
  <si>
    <t>Delivery System, Swing-Mounted Dr. Cntl. with Clesta Light</t>
  </si>
  <si>
    <t>BDS-2572</t>
  </si>
  <si>
    <t>Delivery System, Swing-Mounted Dr. Cntl. with Bel-Halo LED Light</t>
  </si>
  <si>
    <t>BDS-0020</t>
  </si>
  <si>
    <t>Left-Right Rear Vac Pac, for B-20 &amp; B-20+ Chairs</t>
  </si>
  <si>
    <t>BDS-0050</t>
  </si>
  <si>
    <t>Left-Right Rear Vac Pac, for B-50 &amp; B-20N Chairs</t>
  </si>
  <si>
    <t>BDS-2590</t>
  </si>
  <si>
    <t xml:space="preserve">Monitor Arm with Chair Adapter (Specify Type),Swing-Mounted </t>
  </si>
  <si>
    <t>BDS-2589</t>
  </si>
  <si>
    <t>Monitor Arm Only (attaches to BDS-2575 )</t>
  </si>
  <si>
    <t>BDS-2541</t>
  </si>
  <si>
    <t>Delivery System, Cabinet-Mount, L/R Duo Rear , Dr. &amp; Asst.</t>
  </si>
  <si>
    <t>BDS-2543</t>
  </si>
  <si>
    <t>Delivery System, Cabinet-Mount, L/R, Assistant Only</t>
  </si>
  <si>
    <t>BDS-2555</t>
  </si>
  <si>
    <t>Delivery System, Cabinet-Mount Side Delivery, Doctor</t>
  </si>
  <si>
    <t>BDS-2561</t>
  </si>
  <si>
    <t>Delivery System, Cabinet-Mount, L/R, Dr &amp; Asst.</t>
  </si>
  <si>
    <t>BDS-2563</t>
  </si>
  <si>
    <t>Delivery System, Cabinet-Mount, L/R Assistant Only</t>
  </si>
  <si>
    <t>BDS-2564</t>
  </si>
  <si>
    <t>Delivery System, Cabinet-Mount Rear Delivery, Doctor</t>
  </si>
  <si>
    <t>BDS-2571</t>
  </si>
  <si>
    <t>Delivery System, Cabinet-Mount Rear Assistant Unit</t>
  </si>
  <si>
    <t>EDS-0500</t>
  </si>
  <si>
    <t>Delivery System, Over-the Patient, Cuspidor, Assistant Instruments &amp; Light Post</t>
  </si>
  <si>
    <t>EDS-0501</t>
  </si>
  <si>
    <t>Delivery System, Over-the Patient, Cuspidor, Assistant Instruments, NO Light Post.</t>
  </si>
  <si>
    <t>EDS-0502</t>
  </si>
  <si>
    <t>Delivery System, Over-the Patient, Cuspidor, Assistant Instruments. NO Light Post. With Post Extension For Trays</t>
  </si>
  <si>
    <t>EDS-0510</t>
  </si>
  <si>
    <t>Delivery System, Over-the Patient, Assistant Instruments. With 45" Light Post</t>
  </si>
  <si>
    <t>EDS-0512</t>
  </si>
  <si>
    <t>Delivery System, Over-the Patient, Assistant Instruments. NO Light Post. With Post Extension For Trays</t>
  </si>
  <si>
    <t>EDS-0520</t>
  </si>
  <si>
    <r>
      <t xml:space="preserve">Cuspidor/Post-Mounted Utilities w/ Assistant Instrument Holder, HVE &amp; SE. </t>
    </r>
    <r>
      <rPr>
        <b/>
        <sz val="9"/>
        <rFont val="Arial"/>
        <family val="2"/>
      </rPr>
      <t>WITH 45" Light Post</t>
    </r>
  </si>
  <si>
    <t>EDS-0522</t>
  </si>
  <si>
    <r>
      <t>Cuspidor/Post-Mounted Utilities w/ Assistant Instrument Holder, HVE &amp; SE. WITH Post Extension for trays,</t>
    </r>
    <r>
      <rPr>
        <b/>
        <sz val="9"/>
        <rFont val="Arial"/>
        <family val="2"/>
      </rPr>
      <t xml:space="preserve"> No light Post</t>
    </r>
  </si>
  <si>
    <t>EDS-0570</t>
  </si>
  <si>
    <t>Delivery System, Swing-Mounted Dr. Cntl. with  Light Post for Belmont Post Mounted Lights</t>
  </si>
  <si>
    <t>EDS-0575</t>
  </si>
  <si>
    <t>Delivery System, Swing-Mounted Doctor Control</t>
  </si>
  <si>
    <t>EDS-0579</t>
  </si>
  <si>
    <t>Delivery System, Swing-Mounted Dr. Cntl. with  Monitor Post</t>
  </si>
  <si>
    <t>EDS-0620</t>
  </si>
  <si>
    <t>Hygiene Delivery System, Rear Swing Mounted for B-20 &amp; B-20+ Chairs, 2 HP, Syringe, HVE and SE</t>
  </si>
  <si>
    <t>EDS-0650</t>
  </si>
  <si>
    <t>Hygiene Delivery System, Rear Swing Mounted for B-50 Chair, 2 HP, Syringe, HVE and SE</t>
  </si>
  <si>
    <t>EDS-0604</t>
  </si>
  <si>
    <t>Hygiene Delivery System, Over-the-Patient with Cuspidor. With 45" Light Post</t>
  </si>
  <si>
    <t>EDS-0605</t>
  </si>
  <si>
    <t>Hygiene Delivery System, Over-the-Patient with Cuspidor. NO Light Post</t>
  </si>
  <si>
    <t>EDS-0606</t>
  </si>
  <si>
    <t>Hygiene Delivery System, Over-the-Patient with Cuspidor. No Light Post. With Post Extension For Trays</t>
  </si>
  <si>
    <t>EDS-0610</t>
  </si>
  <si>
    <t>Hygiene Delivery System, Over-the Patient. With 45" Light Post</t>
  </si>
  <si>
    <t>EDS-0612</t>
  </si>
  <si>
    <t>Hygiene Delivery System, Over-the Patient. NO Light Post. With Post Extension For Trays</t>
  </si>
  <si>
    <t>EDS-0670</t>
  </si>
  <si>
    <t>Hygiene Delivery System, L/R Front Swing Mount with Light Post for mounting Belmont post mounted Lights</t>
  </si>
  <si>
    <t>EDS-0675</t>
  </si>
  <si>
    <t>Hygiene Delivery System, L/R Front Swing Mount</t>
  </si>
  <si>
    <t>EDS-0679</t>
  </si>
  <si>
    <t>Hygiene delivery, Swing-Mounted Cntl. with  Monitor Post</t>
  </si>
  <si>
    <t>EDS-0700</t>
  </si>
  <si>
    <t>Euro-style Delivery System, OTP,  w- Cuspidor, Asst. Instruments and 45" light post. Includes single HP F.O.</t>
  </si>
  <si>
    <t>EDS-0701</t>
  </si>
  <si>
    <t>Euro-style Delivery System, OTP,  w- Cuspidor, Asst. Instruments. Includes single HP F.O.- NO light post.</t>
  </si>
  <si>
    <t>EDS-0702</t>
  </si>
  <si>
    <t>Euro-style Delivery System, OTP,  Cuspidor, Assistant Instruments. NO Light Post. With Post Extension For Trays</t>
  </si>
  <si>
    <t>EDS-0710</t>
  </si>
  <si>
    <t>Euro-style Delivery System, OTP,  with Asst. Instruments and 45" light post. Includes single HP F.O.</t>
  </si>
  <si>
    <t>EDS-0712</t>
  </si>
  <si>
    <t>Euro-style Delivery System, OTP,  with Asst. Instruments and post extension for Trays. NO Light post. Includes single HP F.O.</t>
  </si>
  <si>
    <t>EDS-0770</t>
  </si>
  <si>
    <t>Euro-style Delivery System, Swing-Mounted Dr. Cntl. with Light Post for Belmont Post Mounted Lights. Includes Single HP F.O.</t>
  </si>
  <si>
    <t>EDS-0775</t>
  </si>
  <si>
    <t>Euro-style Delivery System, Swing-Mounted Dr. Cntl. Includes Single HP F.O.</t>
  </si>
  <si>
    <t>EDS-0779</t>
  </si>
  <si>
    <t>Euro-style Delivery System, Swing-Mounted Dr. Cntl.  with monitor post. Includes Single HP F.O.</t>
  </si>
  <si>
    <t>EDS-3090</t>
  </si>
  <si>
    <t>L-R Front Mounted Monitor Arm &amp; L-R Light post for Belmont Post Mounted Lights, with J-Box Cover/Frame, Spiral Lock Tubing, Umbilical Bracket, chair mount</t>
  </si>
  <si>
    <t>EDS-0530</t>
  </si>
  <si>
    <t>Swing Mounted Light Arm for Belmont Post Mounted Lights (with chair mounting plate for Bel-20+, Bel-20 and Bel-50</t>
  </si>
  <si>
    <t>EDS-5062V</t>
  </si>
  <si>
    <t>Ortho Cart 2 HP Manual Delivery, w/ Asst Instr. &amp; Bottled Water System, ECO-Sys (Umb. &amp; J-Box NOT incl.)</t>
  </si>
  <si>
    <t>EDS-5063V</t>
  </si>
  <si>
    <t>Ortho Cart 3 HP Automatic Delivery w/ asst. instr.&amp; Bottled water System,ECO-Sys (Umb. &amp; J-box NOT incl.)</t>
  </si>
  <si>
    <t>Light, Post Mount, Straight Post Type, Clesta                                                                                                                                                                                                (Requires BDS0012, BDS0013 post or 8482B post+ chair adapter)</t>
  </si>
  <si>
    <t>Light, Ceiling Mount, Clesta (Specify 8, 9 or 10 foot ceiling height)</t>
  </si>
  <si>
    <t>Light, Track, Clesta (Specify 8, 8.5, 9, 9.5 or 10 foot ceiling height)</t>
  </si>
  <si>
    <t>Light, Cabinet Mount, Clesta</t>
  </si>
  <si>
    <t>Light, Wall Mount, Clesta</t>
  </si>
  <si>
    <t>BDS-2530</t>
  </si>
  <si>
    <t xml:space="preserve">Light, Clesta, Swing-Mounted, (Curved post included) </t>
  </si>
  <si>
    <t>BDS-2535</t>
  </si>
  <si>
    <t>Light, Clesta, Unit Mount, Curved Post Type (Curved post Included)</t>
  </si>
  <si>
    <t>Light, Post Mount, ECO-Sys (Requires BDS0012, BDS0013 post                                                                   or 8482B post+ chair adapter)</t>
  </si>
  <si>
    <t>Light, Ceiling Mount, ECO-Sys (Specify 8, 8.5, 9, 9.5 or 10 foot ceiling height)</t>
  </si>
  <si>
    <t>Light, Track, ECO-Sys (Specify 8, 8.5, 9, 9.5 or 10 foot ceiling height)</t>
  </si>
  <si>
    <t>AL-901</t>
  </si>
  <si>
    <t>Light, Bel-Halo LED, Post Mount, (Requires BDS0012, BDS0013 post                                     or 8482B post+ chair adapter)</t>
  </si>
  <si>
    <t>AL-901R</t>
  </si>
  <si>
    <r>
      <t xml:space="preserve">Light, Bel-Halo LED, Post Mount, </t>
    </r>
    <r>
      <rPr>
        <b/>
        <sz val="9"/>
        <rFont val="Arial"/>
        <family val="2"/>
      </rPr>
      <t xml:space="preserve">White                                       </t>
    </r>
    <r>
      <rPr>
        <sz val="9"/>
        <rFont val="Arial"/>
        <family val="2"/>
      </rPr>
      <t xml:space="preserve">                 (Requires BDS0012, BDS0013 post                                     or 8482B post+ chair adapter)</t>
    </r>
  </si>
  <si>
    <t>AL-902</t>
  </si>
  <si>
    <t>Light, Bel-Halo LED, Ceiling Mount,  (Specify 8, 8.5, 9, 9.5 or 10 foot ceiling height)</t>
  </si>
  <si>
    <t>AL-905</t>
  </si>
  <si>
    <t>Light, Bel-Halo LED, Track, (Specify 8, 8.5, 9, 9.5 or 10 foot ceiling height)</t>
  </si>
  <si>
    <t>AL-907</t>
  </si>
  <si>
    <t>Light, Bel-Halo LED, Cabinet Mounted</t>
  </si>
  <si>
    <t>AL-908</t>
  </si>
  <si>
    <t>Light, Bel-Halo LED, Wall Mounted</t>
  </si>
  <si>
    <t>BDS-2532</t>
  </si>
  <si>
    <t xml:space="preserve">Light, Bel-Halo LED, Swing-Mounted, (Curved post included) </t>
  </si>
  <si>
    <t>BDS-2536</t>
  </si>
  <si>
    <t>Light, Bel-Halo LED, Unit Mount, Curved Post Type (Curved post Included)</t>
  </si>
  <si>
    <t>QDU-5631</t>
  </si>
  <si>
    <t xml:space="preserve">Light,  Bel-Halo LED, AL920Q, Swing-Mounted, (Curved post included) </t>
  </si>
  <si>
    <t>QDU-5630</t>
  </si>
  <si>
    <t xml:space="preserve">Light,  Quolis AL820, Swing-Mounted, (Curved post included) </t>
  </si>
  <si>
    <t>Bel-CAT</t>
  </si>
  <si>
    <t>3D Cone Beam X-Ray Imaging System with FPD for Panoramic</t>
  </si>
  <si>
    <t>3D Cone Beam X-Ray Imaging System with CCD for Panoramic</t>
  </si>
  <si>
    <t>3D Cone Beam X-Ray Imaging System with CCD for Panoramic and Cephalometric</t>
  </si>
  <si>
    <t>X-Ray, Panoramic/ Cephalometric, Digital, (Specify Left or Right Ceph Arm)</t>
  </si>
  <si>
    <t>Bel-Cypher</t>
  </si>
  <si>
    <t>X-Ray, Panoramic,Digital, Bel-Cypher</t>
  </si>
  <si>
    <t>PHOT-xII</t>
  </si>
  <si>
    <t>X-Ray, Intra-Oral, DC,  31" arm (PHOT-XII)</t>
  </si>
  <si>
    <t>303WK20</t>
  </si>
  <si>
    <t>X-Ray, Intra-Oral, DC,  20" arm (PHOT-XII)</t>
  </si>
  <si>
    <t>303WK12</t>
  </si>
  <si>
    <t>X-Ray, Intra-Oral, DC,  12" arm (PHOT-XII)</t>
  </si>
  <si>
    <t>097WK31</t>
  </si>
  <si>
    <t>X-Ray, Bel-Ray II Intra-Oral, AC, 31" arm</t>
  </si>
  <si>
    <t>097WK20</t>
  </si>
  <si>
    <t>X-Ray, Bel-Ray II Intra-Oral, AC, 20" arm</t>
  </si>
  <si>
    <t>097WK12</t>
  </si>
  <si>
    <t>X-Ray, Bel-Ray II Intra-Oral, AC, 12" arm</t>
  </si>
  <si>
    <t>BSENGLD-TOK1</t>
  </si>
  <si>
    <t>BelSensor GOLD, Total Kit, Size #1 (incl. size #1 Sensor, 9' cable length, XV Lite Software for 1 user)</t>
  </si>
  <si>
    <t>BSENGLD-1</t>
  </si>
  <si>
    <t>BelSensor GOLD, Size #1 Sensor and 9ft cable length</t>
  </si>
  <si>
    <t>BSENGLD-TOK2</t>
  </si>
  <si>
    <t>BelSensor GOLD, Total Kit, Size #2 (incl. size #2 Sensor, 9' cable length, XV Lite Software for 1 user)</t>
  </si>
  <si>
    <t>BSENGLD-2</t>
  </si>
  <si>
    <t>BelSensor GOLD, Size #2 Sensor and 9ft cable length</t>
  </si>
  <si>
    <t>BSEN-XV</t>
  </si>
  <si>
    <t>XVLite Software for 1 user</t>
    <phoneticPr fontId="5" type="noConversion"/>
  </si>
  <si>
    <t>BSEN-XVLIC</t>
  </si>
  <si>
    <t xml:space="preserve"> XVLite Software license for an additional user</t>
  </si>
  <si>
    <t>BSEN-XVLIC5</t>
  </si>
  <si>
    <t xml:space="preserve"> XVLite Software license for 5 additional users</t>
  </si>
  <si>
    <t>BSEN-XVLIC10</t>
  </si>
  <si>
    <t xml:space="preserve"> XVLite Software license for 10 additional user</t>
  </si>
  <si>
    <t>BSEN-XVLIC20</t>
  </si>
  <si>
    <t xml:space="preserve"> XVLite Software license for 20 additional user</t>
  </si>
  <si>
    <t>BSEN-XVPRO</t>
  </si>
  <si>
    <t xml:space="preserve"> XVPRO Software for 1 user</t>
    <phoneticPr fontId="5" type="noConversion"/>
  </si>
  <si>
    <t>BSEN-XVPRODICOM</t>
  </si>
  <si>
    <t xml:space="preserve"> XVPRODICOM Server Comunication Software for 1 user</t>
    <phoneticPr fontId="5" type="noConversion"/>
  </si>
  <si>
    <t>BSEN-XVPROLIC</t>
  </si>
  <si>
    <t xml:space="preserve"> XVPRO Software license for an additional user</t>
  </si>
  <si>
    <t>BSEN-XVPROLIC5</t>
  </si>
  <si>
    <t xml:space="preserve"> XVPRO Software license for 5 additional user</t>
  </si>
  <si>
    <t>BSEN-XVPROLIC10</t>
  </si>
  <si>
    <t xml:space="preserve"> XVPRO Software license for 10 additional user</t>
  </si>
  <si>
    <t>BSEN-XVPROLIC20</t>
  </si>
  <si>
    <t xml:space="preserve"> XVPRO Software license for 20 additional user</t>
  </si>
  <si>
    <t>BSEN-XVPAL</t>
  </si>
  <si>
    <t xml:space="preserve"> XVPRO Software license for an additional location</t>
  </si>
  <si>
    <t>BSEN-XVLITEAL</t>
  </si>
  <si>
    <t>XVLite Software for an additional user</t>
  </si>
  <si>
    <t>BSENGLD-TWAIN</t>
  </si>
  <si>
    <t>BelSensor GOLD TWAIN base license for 3rd party software</t>
  </si>
  <si>
    <t>BSENGLD-TWAINLIC</t>
  </si>
  <si>
    <t>BelSensor GOLD TWAIN additional PC license for 3rd party software</t>
  </si>
  <si>
    <t xml:space="preserve">BSEN-XRAYVISION DCV </t>
  </si>
  <si>
    <t>X-ray Vision DICOM Capture View (DCV)</t>
  </si>
  <si>
    <t>BSEN-XRAYVISION DCV-LIC</t>
  </si>
  <si>
    <t>X-ray Vision DICOM Capture View (DCV), License for Additional user</t>
  </si>
  <si>
    <t>BSEN-DCVDATA</t>
  </si>
  <si>
    <t>X-ray Vision Data Manager, Picture Archive and Communication system (PACS) server application for BSEN-X-Ray Vision DCV</t>
  </si>
  <si>
    <t>BSEN-DCVFWDATA</t>
  </si>
  <si>
    <t>X-ray Vision Data Manager, DCV Forwarding Data manager to forward images from a site on a schedule</t>
  </si>
  <si>
    <t>ADR</t>
  </si>
  <si>
    <t>X-Ray, Digital Upgrade Kit, Panoramic , EX-1000</t>
  </si>
  <si>
    <t>E-1-RS</t>
  </si>
  <si>
    <t>Cabinet, Doctor Console  (Sink RIGHT)</t>
  </si>
  <si>
    <t>E-1-LS</t>
  </si>
  <si>
    <t>Cabinet, Doctor Console  (Sink LEFT)</t>
  </si>
  <si>
    <t>E-2</t>
  </si>
  <si>
    <t>Cabinet, Wall Storage Unit, Upper &amp; Lower</t>
  </si>
  <si>
    <t>E-2L</t>
  </si>
  <si>
    <t xml:space="preserve">Cabinet, Wall Storage Unit, Lower </t>
  </si>
  <si>
    <t>E-2U</t>
  </si>
  <si>
    <t xml:space="preserve">Cabinet, Wall Storage Unit, Upper </t>
  </si>
  <si>
    <t>E-3-RS</t>
  </si>
  <si>
    <t>Cabinet, Assistant Console (Sink RIGHT)</t>
  </si>
  <si>
    <t>E-3C-RS</t>
  </si>
  <si>
    <r>
      <t xml:space="preserve">Cabinet, Assistant Console With               </t>
    </r>
    <r>
      <rPr>
        <b/>
        <sz val="9"/>
        <rFont val="Arial"/>
        <family val="2"/>
      </rPr>
      <t>E-9</t>
    </r>
    <r>
      <rPr>
        <sz val="9"/>
        <rFont val="Arial"/>
        <family val="2"/>
      </rPr>
      <t xml:space="preserve"> Cart (Sink RIGHT)</t>
    </r>
  </si>
  <si>
    <t>E-3-LS</t>
  </si>
  <si>
    <t>Cabinet, Assistant Console (Sink LEFT)</t>
  </si>
  <si>
    <t>E-3C-LS</t>
  </si>
  <si>
    <r>
      <t xml:space="preserve">Cabinet, Assistant Console With                   </t>
    </r>
    <r>
      <rPr>
        <b/>
        <sz val="9"/>
        <rFont val="Arial"/>
        <family val="2"/>
      </rPr>
      <t>E-9</t>
    </r>
    <r>
      <rPr>
        <sz val="9"/>
        <rFont val="Arial"/>
        <family val="2"/>
      </rPr>
      <t xml:space="preserve"> Cart (Sink LEFT)</t>
    </r>
  </si>
  <si>
    <t>E-3CM-RS</t>
  </si>
  <si>
    <t>Cabinet, Assistant's Console (Sink RIGHT)</t>
  </si>
  <si>
    <t>E-3CMC-RS</t>
  </si>
  <si>
    <r>
      <t xml:space="preserve">Cabinet, Assistant's Console with </t>
    </r>
    <r>
      <rPr>
        <b/>
        <sz val="9"/>
        <rFont val="Arial"/>
        <family val="2"/>
      </rPr>
      <t>E-9</t>
    </r>
    <r>
      <rPr>
        <sz val="9"/>
        <rFont val="Arial"/>
        <family val="2"/>
      </rPr>
      <t xml:space="preserve"> Cart  (Sink RIGHT)</t>
    </r>
  </si>
  <si>
    <t>E-3CM-LS</t>
  </si>
  <si>
    <t>Cabinet, Assistant's Console (Sink LEFT)</t>
  </si>
  <si>
    <t>E-3CMC-LS</t>
  </si>
  <si>
    <r>
      <t xml:space="preserve">Cabinet, Assistant's Console with </t>
    </r>
    <r>
      <rPr>
        <b/>
        <sz val="9"/>
        <rFont val="Arial"/>
        <family val="2"/>
      </rPr>
      <t>E-9</t>
    </r>
    <r>
      <rPr>
        <sz val="9"/>
        <rFont val="Arial"/>
        <family val="2"/>
      </rPr>
      <t xml:space="preserve"> Cart (Sink LEFT)</t>
    </r>
  </si>
  <si>
    <t>E-4</t>
  </si>
  <si>
    <t xml:space="preserve">Cabinet, Split Entry Console </t>
  </si>
  <si>
    <t>E-5</t>
  </si>
  <si>
    <t>Cabinet, Left-Right Rear Console, Space Saver</t>
  </si>
  <si>
    <t>E-5L</t>
  </si>
  <si>
    <t>Cabinet, Left-Right Rear Console, Lower, Space Saver</t>
  </si>
  <si>
    <t>E-6</t>
  </si>
  <si>
    <t xml:space="preserve">Cabinet, Left-Right Rear Treatment Console </t>
  </si>
  <si>
    <t>E-6L</t>
  </si>
  <si>
    <t>Cabinet, Left-Right Rear Treatment Console, Lower</t>
  </si>
  <si>
    <t>E-7</t>
  </si>
  <si>
    <t>L-R Rear Treatment Center Console</t>
  </si>
  <si>
    <t>E-7-DS</t>
  </si>
  <si>
    <t>Cabinet, Left-Right Rear Treatment Console with Dual Sink Modules</t>
  </si>
  <si>
    <t>E-7-LS</t>
  </si>
  <si>
    <t>Cabinet, Left-Right Rear Treatment Console with Left Sink Module</t>
  </si>
  <si>
    <t>E-7-RS</t>
  </si>
  <si>
    <t>Cabinet, Left-Right Rear Treatment Console with Right Sink Module</t>
  </si>
  <si>
    <t>E-8</t>
  </si>
  <si>
    <t>Sink Unit</t>
  </si>
  <si>
    <t>E-9</t>
  </si>
  <si>
    <t>Cabinet, Mobile Cart</t>
  </si>
  <si>
    <t>E-120</t>
  </si>
  <si>
    <t>Cabinet, Modular Sterilization Center</t>
  </si>
  <si>
    <t>E-155</t>
  </si>
  <si>
    <t xml:space="preserve">Cabinet, Stericenter, Quolis™ </t>
  </si>
  <si>
    <t>D-1-RS</t>
  </si>
  <si>
    <t>Cabinet, Doctor Console (Sink on RIGHT side)</t>
  </si>
  <si>
    <t>D-1-LS</t>
  </si>
  <si>
    <t>Cabinet, Doctor Console (Sink on LEFT side)</t>
  </si>
  <si>
    <t>D-2</t>
  </si>
  <si>
    <t>D-2L</t>
  </si>
  <si>
    <t>D-2U</t>
  </si>
  <si>
    <t>D-3-RS</t>
  </si>
  <si>
    <t>Cabinet, Assistant Console (Sink on RIGHT Side)</t>
  </si>
  <si>
    <t>D-3-LS</t>
  </si>
  <si>
    <t>Cabinet, Assistant Console (Sink on LEFT Side)</t>
  </si>
  <si>
    <t>D-4R</t>
  </si>
  <si>
    <t>Cabinet, Split Entry Console 72" Tall</t>
  </si>
  <si>
    <t>D-4RH</t>
  </si>
  <si>
    <t>Cabinet, Split Entry Console 82" Tall</t>
  </si>
  <si>
    <t>D-5CM</t>
  </si>
  <si>
    <t>D-5CM-L</t>
  </si>
  <si>
    <t>D-66CM2</t>
  </si>
  <si>
    <t>D-66CM3</t>
  </si>
  <si>
    <t>Cabinet, Left-Right Rear Treatment Console</t>
  </si>
  <si>
    <t>D-66CM2-L</t>
  </si>
  <si>
    <t>D-66CM3-L</t>
  </si>
  <si>
    <t>D-66CM3-53</t>
  </si>
  <si>
    <t>Cabinet, Left-Right Rear Treatment Console, 53" Wide</t>
  </si>
  <si>
    <t>D-66CM3-DS</t>
  </si>
  <si>
    <t>D-66CM3-LS</t>
  </si>
  <si>
    <t>Cabinet, Left-Right Rear Treatment Console with Left Side Sink Module</t>
  </si>
  <si>
    <t>D-66CM3-RS</t>
  </si>
  <si>
    <t>Cabinet, Left-Right Rear Treatment Console with Right Side Sink Module</t>
  </si>
  <si>
    <t>D-8</t>
  </si>
  <si>
    <t>Cabinet, Sink Unit</t>
  </si>
  <si>
    <t>D-9</t>
  </si>
  <si>
    <t>D-96</t>
  </si>
  <si>
    <t>Cabinet, Sterilization Center</t>
  </si>
  <si>
    <t>D-42</t>
  </si>
  <si>
    <t>Cabinet, X-ray Pass Through, 42" Wide</t>
  </si>
  <si>
    <t>D-50</t>
  </si>
  <si>
    <t>Cabinet, X-ray Pass Through, 50" Wide</t>
  </si>
  <si>
    <t>K-2061</t>
  </si>
  <si>
    <t>Locker, Employee, 2-Door</t>
  </si>
  <si>
    <t>K-2062</t>
  </si>
  <si>
    <t>Locker, Employee, 4-Door</t>
  </si>
  <si>
    <t>K-2099</t>
  </si>
  <si>
    <t>Cabinet, Reception Desk</t>
  </si>
  <si>
    <t>K-9043</t>
  </si>
  <si>
    <t>Cabinet, Coffee Bar</t>
  </si>
  <si>
    <t>ECO-1-RS</t>
  </si>
  <si>
    <r>
      <t>Doctor's Console (Sink on</t>
    </r>
    <r>
      <rPr>
        <b/>
        <sz val="9"/>
        <rFont val="Arial"/>
        <family val="2"/>
      </rPr>
      <t xml:space="preserve"> RIGHT</t>
    </r>
    <r>
      <rPr>
        <sz val="9"/>
        <rFont val="Arial"/>
        <family val="2"/>
      </rPr>
      <t xml:space="preserve"> side)</t>
    </r>
  </si>
  <si>
    <t>ECO-1-LS</t>
  </si>
  <si>
    <r>
      <t>Doctor's Console (Sink on</t>
    </r>
    <r>
      <rPr>
        <b/>
        <sz val="9"/>
        <rFont val="Arial"/>
        <family val="2"/>
      </rPr>
      <t xml:space="preserve"> LEFT</t>
    </r>
    <r>
      <rPr>
        <sz val="9"/>
        <rFont val="Arial"/>
        <family val="2"/>
      </rPr>
      <t xml:space="preserve"> side)</t>
    </r>
  </si>
  <si>
    <t>ECO-2</t>
    <phoneticPr fontId="5" type="noConversion"/>
  </si>
  <si>
    <t>Wall Mount Storage Unit</t>
    <phoneticPr fontId="5" type="noConversion"/>
  </si>
  <si>
    <t>ECO-2L</t>
    <phoneticPr fontId="5" type="noConversion"/>
  </si>
  <si>
    <t>Lower Wall Mount Storage Unit</t>
    <phoneticPr fontId="5" type="noConversion"/>
  </si>
  <si>
    <t>ECO-2U</t>
    <phoneticPr fontId="5" type="noConversion"/>
  </si>
  <si>
    <t>Upper Wall Mount Storage Unit</t>
    <phoneticPr fontId="5" type="noConversion"/>
  </si>
  <si>
    <t>ECO-3-RS</t>
  </si>
  <si>
    <r>
      <t xml:space="preserve">Assistant Side Console (Sink on </t>
    </r>
    <r>
      <rPr>
        <b/>
        <sz val="9"/>
        <rFont val="Arial"/>
        <family val="2"/>
      </rPr>
      <t>RIGHT</t>
    </r>
    <r>
      <rPr>
        <sz val="9"/>
        <rFont val="Arial"/>
        <family val="2"/>
      </rPr>
      <t xml:space="preserve"> side)</t>
    </r>
  </si>
  <si>
    <t>ECO-3-LS</t>
  </si>
  <si>
    <r>
      <t xml:space="preserve">Assistant Side Console (Sink on </t>
    </r>
    <r>
      <rPr>
        <b/>
        <sz val="9"/>
        <rFont val="Arial"/>
        <family val="2"/>
      </rPr>
      <t>LEFT</t>
    </r>
    <r>
      <rPr>
        <sz val="9"/>
        <rFont val="Arial"/>
        <family val="2"/>
      </rPr>
      <t xml:space="preserve"> side)</t>
    </r>
  </si>
  <si>
    <t>Rear Treatment Console</t>
  </si>
  <si>
    <t>ECO-6-L</t>
  </si>
  <si>
    <t>Lower Rear Treatment Console</t>
  </si>
  <si>
    <t>ECO-9</t>
  </si>
  <si>
    <t>Cart, Mobile with sliding top worksurface</t>
  </si>
  <si>
    <t>ECO-9F2B</t>
  </si>
  <si>
    <t>Cart, Mobile with left-right sliding top worksurface</t>
  </si>
  <si>
    <t>OC-200</t>
  </si>
  <si>
    <t>Cabinet, Mobile Orthodontic Cart , Ortho-Sys</t>
  </si>
  <si>
    <t>OC-400</t>
  </si>
  <si>
    <t>Cabinet, Mobile Orthodontic Cart with keyboard Tray, Ortho-Sys</t>
  </si>
  <si>
    <t>Aluminum Adapter for Light Post,        Ritter Style</t>
    <phoneticPr fontId="5" type="noConversion"/>
  </si>
  <si>
    <t>Aluminum Adapter for Light Post, Belmont Style</t>
  </si>
  <si>
    <t>097PTP</t>
  </si>
  <si>
    <t>Pass-Thru Wall Mounting Plate</t>
  </si>
  <si>
    <t>1A009NA0</t>
  </si>
  <si>
    <t>Wire Harness, T.Pad w-o Vac Pac, Q-5000</t>
  </si>
  <si>
    <t>1A05S7A0</t>
  </si>
  <si>
    <t>Wire Harness, 5ft., for Touchpad mounting to B-20+ &amp; B-20N</t>
  </si>
  <si>
    <t>1P01S2A0</t>
  </si>
  <si>
    <t>Wire Harness, 15ft, for mounting T.Pad on ECO-Sys deliv. or BDS-2555 side deliv.</t>
  </si>
  <si>
    <t>1P01B7A0</t>
  </si>
  <si>
    <t>12" Horizontal Arm, Bel-Ray II</t>
    <phoneticPr fontId="5" type="noConversion"/>
  </si>
  <si>
    <t>1P01CGA0</t>
  </si>
  <si>
    <t>20" Horizontal Arm, Bel-Ray II</t>
    <phoneticPr fontId="5" type="noConversion"/>
  </si>
  <si>
    <t>303PTP</t>
  </si>
  <si>
    <t>303REC</t>
  </si>
  <si>
    <t>Rectangular Cone (8")</t>
  </si>
  <si>
    <t>303RMSW</t>
  </si>
  <si>
    <t>Coiled Wire Remote Switch</t>
  </si>
  <si>
    <t>8482B</t>
  </si>
  <si>
    <t>48" Light Post with bushing for Belmont Post Mounted lights</t>
  </si>
  <si>
    <t>8493B</t>
  </si>
  <si>
    <t xml:space="preserve">Chair Adapter for mounting 48" light post or non-Belmont units to B-20+/B-50/B-20/PROII </t>
  </si>
  <si>
    <t>Quolis dental light head and balance arm only. No curved light post</t>
  </si>
  <si>
    <t>AY-BDS-012</t>
  </si>
  <si>
    <t>Quolis J.box frame and cover only. No contents.</t>
  </si>
  <si>
    <t>B50AC+ color</t>
  </si>
  <si>
    <r>
      <t xml:space="preserve">Armrest Covers, </t>
    </r>
    <r>
      <rPr>
        <b/>
        <i/>
        <sz val="9"/>
        <rFont val="Arial"/>
        <family val="2"/>
      </rPr>
      <t xml:space="preserve">Duration </t>
    </r>
    <r>
      <rPr>
        <sz val="9"/>
        <rFont val="Arial"/>
        <family val="2"/>
      </rPr>
      <t xml:space="preserve">or </t>
    </r>
    <r>
      <rPr>
        <b/>
        <i/>
        <sz val="9"/>
        <rFont val="Arial"/>
        <family val="2"/>
      </rPr>
      <t>Ultraleather™</t>
    </r>
    <r>
      <rPr>
        <sz val="9"/>
        <rFont val="Arial"/>
        <family val="2"/>
      </rPr>
      <t xml:space="preserve">, </t>
    </r>
    <r>
      <rPr>
        <b/>
        <sz val="9"/>
        <rFont val="Arial"/>
        <family val="2"/>
      </rPr>
      <t>Std. Colors</t>
    </r>
  </si>
  <si>
    <t>B50AC+ non-std. colors</t>
  </si>
  <si>
    <r>
      <t xml:space="preserve">Armrest Covers, </t>
    </r>
    <r>
      <rPr>
        <b/>
        <i/>
        <sz val="9"/>
        <rFont val="Arial"/>
        <family val="2"/>
      </rPr>
      <t>Duration</t>
    </r>
    <r>
      <rPr>
        <sz val="9"/>
        <rFont val="Arial"/>
        <family val="2"/>
      </rPr>
      <t xml:space="preserve"> or </t>
    </r>
    <r>
      <rPr>
        <b/>
        <i/>
        <sz val="9"/>
        <rFont val="Arial"/>
        <family val="2"/>
      </rPr>
      <t>Ultraleather™</t>
    </r>
    <r>
      <rPr>
        <sz val="9"/>
        <rFont val="Arial"/>
        <family val="2"/>
      </rPr>
      <t xml:space="preserve">, </t>
    </r>
    <r>
      <rPr>
        <b/>
        <sz val="9"/>
        <rFont val="Arial"/>
        <family val="2"/>
      </rPr>
      <t>Non-Std. Colors</t>
    </r>
  </si>
  <si>
    <t>B50AYDR08A0</t>
  </si>
  <si>
    <t>Foot Control w- 2 Programs</t>
  </si>
  <si>
    <t>B99FM+ color</t>
  </si>
  <si>
    <t>Headrest, Flat w- magnetic cushion</t>
  </si>
  <si>
    <t>BDS0004</t>
  </si>
  <si>
    <t>Additional (4th) Handpiece</t>
  </si>
  <si>
    <t>BDS0005</t>
  </si>
  <si>
    <t>Delete Syringe (Specify Doctor's and/or  Assistant's)</t>
  </si>
  <si>
    <t>BDS0010</t>
  </si>
  <si>
    <t>Touchpad, Unit Mounted, Single Program</t>
  </si>
  <si>
    <t>BDS0011</t>
  </si>
  <si>
    <t>Additional HVE</t>
  </si>
  <si>
    <t>90-175</t>
  </si>
  <si>
    <t>BDS0012</t>
  </si>
  <si>
    <t xml:space="preserve">Straight Light Post, 24", For Belmont Lights </t>
  </si>
  <si>
    <t>BDS0013</t>
  </si>
  <si>
    <t>Straight Light Post, 24", For Lights with Ritter style adapter</t>
  </si>
  <si>
    <t>BDS0014</t>
  </si>
  <si>
    <t>Assistant Short Arm</t>
  </si>
  <si>
    <t>BDS0015</t>
  </si>
  <si>
    <t>Delete Chair Adapter</t>
  </si>
  <si>
    <t>BDS0016</t>
  </si>
  <si>
    <t>Touchpad, Unit Mounted, 2 Program</t>
  </si>
  <si>
    <t>BDS0017</t>
  </si>
  <si>
    <t>Delete 1 Handpiece</t>
  </si>
  <si>
    <t>BDS0021</t>
  </si>
  <si>
    <t>Covered Storage Organizers w- Rack</t>
  </si>
  <si>
    <t>BDS0022</t>
  </si>
  <si>
    <t>Tray Arm w- Holder</t>
  </si>
  <si>
    <t>BDS0023</t>
  </si>
  <si>
    <t>Saliva Ejector with tubing and PMU QD, For BDS units</t>
  </si>
  <si>
    <t>BDS0024</t>
  </si>
  <si>
    <t>8" Post for Mounting tray (FHTA18A0 light support rod needed. Post used when no light on unit)</t>
  </si>
  <si>
    <t>BDS0025-1</t>
  </si>
  <si>
    <t>Single HP F.O. system Factory installed</t>
  </si>
  <si>
    <t>BDS0025-1KIT</t>
  </si>
  <si>
    <t>Single HP F.O. system (Field installation kit)</t>
  </si>
  <si>
    <t>BDS0025-2</t>
  </si>
  <si>
    <t>2 HP F.O. system Factory installed</t>
  </si>
  <si>
    <t>BDS0025-2KIT</t>
  </si>
  <si>
    <t>2 HP F.O. system (Field installation kit)</t>
  </si>
  <si>
    <t>BDS0026</t>
  </si>
  <si>
    <t>Delete telescoping arm &amp; asst. instruments</t>
  </si>
  <si>
    <t>BDS15TP</t>
  </si>
  <si>
    <t>Stainless Steel Tray w- non-slip pad</t>
  </si>
  <si>
    <t>BDS2544</t>
  </si>
  <si>
    <t>Wall Mounting Board</t>
  </si>
  <si>
    <t>BDS2557</t>
  </si>
  <si>
    <t>BDS5155</t>
  </si>
  <si>
    <t>Quolis, Curved light post and swing arm only, No chair adaptor.</t>
  </si>
  <si>
    <t>BDS5165</t>
  </si>
  <si>
    <t xml:space="preserve">Quolis, Monitor mount swing arm only. No monitor mounting bracket. No chair adaptor. </t>
  </si>
  <si>
    <t>BDSFOH6</t>
  </si>
  <si>
    <t>F.O. Handpiece Hose, 6-pin, Gray, (replacement)</t>
  </si>
  <si>
    <t>BDSFOLC</t>
  </si>
  <si>
    <t>Light Control, F.O. System, (replacement)</t>
  </si>
  <si>
    <t>BDSFOTR</t>
  </si>
  <si>
    <t>Transformer, F.O. System, (replacement)</t>
  </si>
  <si>
    <t>BDS-JB</t>
  </si>
  <si>
    <t>Complete Junction Box with Floor Utilities</t>
  </si>
  <si>
    <t>BDS-SMB20</t>
  </si>
  <si>
    <t xml:space="preserve">Chair Adapter, For BDS Swing mounted units, B-20+/B-50/B-20 </t>
  </si>
  <si>
    <t>BDS-SMB5000</t>
  </si>
  <si>
    <t>Chair Adapter, For BDS-2570/2575 Swing mounted units to Q-5000</t>
  </si>
  <si>
    <t>BDS-UMB0020</t>
  </si>
  <si>
    <t>Additional Umbilical (Cost/Foot), All Vac Pacs</t>
  </si>
  <si>
    <t>BDS-UMB2500</t>
  </si>
  <si>
    <t>Additional Umbilical (Cost/Foot) for BDS-2500/2520</t>
  </si>
  <si>
    <t>BDS-UMB2500L</t>
  </si>
  <si>
    <t>Additional Umbilical (Cost/Foot) for BDS-2500/2520. With wire harness for Bel-Halo LED light.</t>
  </si>
  <si>
    <t>BDS-UMB2505</t>
  </si>
  <si>
    <t>Additional Umbilical (Cost/Foot) for BDS-2505</t>
  </si>
  <si>
    <t>BDS-UMB2505L</t>
  </si>
  <si>
    <t>Additional Umbilical (Cost/Foot) for BDS-2505. With wire harness for Bel-Halo LED light.</t>
  </si>
  <si>
    <t>BDS-UMB2510</t>
  </si>
  <si>
    <t>Additional Umbilical (Cost/Foot) for BDS-2510</t>
  </si>
  <si>
    <t>BDS-UMB2510L</t>
  </si>
  <si>
    <t>Additional Umbilical (Cost/Foot) for BDS-2510. With wire harness for Bel-Halo LED light.</t>
  </si>
  <si>
    <t>BDS-UMB2515</t>
  </si>
  <si>
    <t>Additional Umbilical (Cost/Foot) for BDS-2515</t>
  </si>
  <si>
    <t>BDS-UMB2515L</t>
  </si>
  <si>
    <t>Additional Umbilical (Cost/Foot) for BDS-2515. With wire harness for Bel-Halo LED light.</t>
  </si>
  <si>
    <t>BDS-UMB2530</t>
  </si>
  <si>
    <t>Additional Umbilical (Cost/Foot) for BDS-2530</t>
  </si>
  <si>
    <t>BDS-UMB2532</t>
  </si>
  <si>
    <t>Additional Umbilical (Cost/Foot) for BDS-2532 Swing mounted Bel-Halo Light</t>
  </si>
  <si>
    <t>BDS-UMB2541</t>
  </si>
  <si>
    <t>Additional Umbilical (Cost/Foot) for BDS-2541</t>
  </si>
  <si>
    <t>BDS-UMB2543</t>
  </si>
  <si>
    <t>Additional Umbilical (Cost/Foot) for BDS-2543</t>
  </si>
  <si>
    <t>BDS-UMB2555</t>
  </si>
  <si>
    <t>Additional Umbilical (Cost/Foot) for BDS-2555</t>
  </si>
  <si>
    <t>BDS-UMB2570</t>
  </si>
  <si>
    <t>Additional Umbilical (Cost/Foot) for BDS-2570, 2575</t>
  </si>
  <si>
    <t>BDS-UMB2572</t>
  </si>
  <si>
    <t>Additional Umbilical (Cost/Foot) for BDS-2572 unit.</t>
  </si>
  <si>
    <t>CAB20</t>
  </si>
  <si>
    <t xml:space="preserve">Chair Adapter, For BDS OTP units (only) , B-20+/B-50/B-20 </t>
  </si>
  <si>
    <t>CAB5000</t>
  </si>
  <si>
    <t>Chair Adapter, For BDS OTP units to Q-5000</t>
  </si>
  <si>
    <t>CMT20+</t>
  </si>
  <si>
    <t>Touchpad, Chair Mounted, 1 program</t>
  </si>
  <si>
    <t>CMT20+2</t>
  </si>
  <si>
    <t>Touchpad, Chair Mounted, 2 program</t>
  </si>
  <si>
    <t>CMT5000</t>
  </si>
  <si>
    <t>Touchpad, Chair Mounted, Single Program</t>
  </si>
  <si>
    <t>CMT5001</t>
  </si>
  <si>
    <t>Touchpad, Chair Mounted, 2 Programs</t>
  </si>
  <si>
    <t>E06EHLL81A0</t>
  </si>
  <si>
    <t>12" Horizontal Arm, PHOT-xII</t>
  </si>
  <si>
    <t>E06EHLL82A0</t>
  </si>
  <si>
    <t>20" Horizontal Arm, PHOT-xII</t>
  </si>
  <si>
    <t>E06EHLZ72A0</t>
  </si>
  <si>
    <t>Long Cone (12"), PHOT-xII</t>
    <phoneticPr fontId="5" type="noConversion"/>
  </si>
  <si>
    <t>E2000214W</t>
  </si>
  <si>
    <t>45" Light post, with side hole, for ECO-Sys units</t>
  </si>
  <si>
    <t>E4027</t>
  </si>
  <si>
    <t>Assistant telescoping  Arm &amp; mounting clamp</t>
  </si>
  <si>
    <t>E50251</t>
  </si>
  <si>
    <t>J-Box Cover &amp; Frame, ECO-Sys</t>
  </si>
  <si>
    <t>EAM</t>
  </si>
  <si>
    <t>Adapter from 2" O.D. Post to FPMM, ECO-Sys</t>
  </si>
  <si>
    <t>EDS0005</t>
  </si>
  <si>
    <t>Add Asssistants Syringe &amp; Holder</t>
  </si>
  <si>
    <t>EDS0011</t>
  </si>
  <si>
    <t>Additional HVE &amp; Holder</t>
  </si>
  <si>
    <t>EC5025</t>
  </si>
  <si>
    <t>Umbilical &amp; J-Box for EDS-5062V and EDS-5063V</t>
  </si>
  <si>
    <t>EC5026</t>
  </si>
  <si>
    <t>Umbilical ONLY for EDS-5062V and EDS-5063V</t>
  </si>
  <si>
    <t>EC4100</t>
  </si>
  <si>
    <t>Additional Syringe for EDS-5062V and EDS-5063V</t>
  </si>
  <si>
    <t>EDS-RCBSELKIT</t>
  </si>
  <si>
    <t>City/Bottle selector kit (For L/R &amp; NON-Cuspidor ECO-Sys Units)</t>
  </si>
  <si>
    <t>EDS-CCBSELKIT</t>
  </si>
  <si>
    <t>City/Bottle selector kit (For ECO-Sys Units w/ Cuspidor)</t>
  </si>
  <si>
    <t>EDSW-VPKIT</t>
  </si>
  <si>
    <t>Kit For Connecting EDS L-R Bottled Water system to BDS-0020 &amp; 0050 Vac Pacs</t>
  </si>
  <si>
    <t>EDSUMB0500</t>
  </si>
  <si>
    <t>Additional Umbilical (Cost/ft)</t>
  </si>
  <si>
    <t>EDSUMB0510</t>
  </si>
  <si>
    <t>EDSUMB0570</t>
  </si>
  <si>
    <t>EDSUMB0604</t>
  </si>
  <si>
    <t>EDSUMB0650</t>
  </si>
  <si>
    <t>EHLL13A0</t>
  </si>
  <si>
    <t>Long Cone (12"), Bel-Ray II</t>
    <phoneticPr fontId="5" type="noConversion"/>
  </si>
  <si>
    <t>EX03100</t>
  </si>
  <si>
    <t>Bite Block (formerly X-4)</t>
  </si>
  <si>
    <t>EX03180</t>
  </si>
  <si>
    <t>Plastic Bite Block Covers (PKG of 500)     (Formerly X-5)</t>
  </si>
  <si>
    <t>EX901090</t>
  </si>
  <si>
    <t>Flat Plate Style Free Standing Base for X-ray Column</t>
  </si>
  <si>
    <t>EXCBB</t>
  </si>
  <si>
    <t>U-Shaped Free Standing Base (Bel-Cat)</t>
  </si>
  <si>
    <t>EXBCB</t>
  </si>
  <si>
    <t>U-ShapedFree Standing Base (Bel-Cypher)</t>
  </si>
  <si>
    <t>EXBMB</t>
  </si>
  <si>
    <t>U-Shaped Free Standing Base (Belmax CM)</t>
  </si>
  <si>
    <t>EXTCHRST</t>
  </si>
  <si>
    <t>Tomography Chinrest</t>
  </si>
  <si>
    <t>FHAA03A0</t>
  </si>
  <si>
    <t>Light Post Base Assembly for Mounting BDS0012, BDS0013 &amp; BDS-2535</t>
  </si>
  <si>
    <t>FPMM</t>
  </si>
  <si>
    <t>Flat Panel Monitor Mount (White)</t>
  </si>
  <si>
    <t>FPMMGR</t>
  </si>
  <si>
    <t>Flat panel monitor mount, Quolis, (Gray)</t>
  </si>
  <si>
    <t>ITHE-MW</t>
  </si>
  <si>
    <t>Handle only, for Ceiling Monitor Mount</t>
  </si>
  <si>
    <t>JB004</t>
  </si>
  <si>
    <t>J-Box Cover &amp; Frame, BDS Units</t>
  </si>
  <si>
    <t>LMKB20KIT</t>
  </si>
  <si>
    <t>Light mounting kit for Bel-20+/50/20/PROII (48" Post &amp; Chair Adapter)</t>
  </si>
  <si>
    <t>LPCC8</t>
  </si>
  <si>
    <t>Suspension tube, Clesta and ECO-Sys Ceiling Lights, for 8ft Ceiling</t>
  </si>
  <si>
    <t>LPCC8.5</t>
  </si>
  <si>
    <t>Suspension tube, Clesta and ECO-Sys Ceiling Lights, for 8-1/2 ft Ceiling</t>
  </si>
  <si>
    <t>LPCC9</t>
  </si>
  <si>
    <t>Suspension tube, Clesta and ECO-Sys Ceiling Lights, for 9ft Ceiling</t>
  </si>
  <si>
    <t>LPCC9.5</t>
  </si>
  <si>
    <t>Suspension tube, Clesta and ECO-Sys Ceiling Lights, for 9-1/2ft Ceiling</t>
  </si>
  <si>
    <t>LPCC10</t>
  </si>
  <si>
    <t>Suspension tube, Clesta and ECO-Sys Ceiling Lights, for 10ft Ceiling</t>
  </si>
  <si>
    <t>LPDT8.5</t>
  </si>
  <si>
    <t>Suspension tube, ECO-Sys Track Lights, for 8-1/2 ft Ceiling</t>
  </si>
  <si>
    <t>LPDT9</t>
  </si>
  <si>
    <t>Suspension tube, ECO-Sys Track Lights, for 9ft Ceiling</t>
  </si>
  <si>
    <t>LPDT9.5</t>
  </si>
  <si>
    <t>Suspension tube, ECO-Sys Track Lights, for 9-1/2ft Ceiling</t>
  </si>
  <si>
    <t>LPDT10</t>
  </si>
  <si>
    <t>Suspension tube, ECO-Sys Track Lights, for 10 ft Ceiling</t>
  </si>
  <si>
    <t>LPTT8</t>
  </si>
  <si>
    <r>
      <t>Suspension tube,</t>
    </r>
    <r>
      <rPr>
        <b/>
        <sz val="9"/>
        <rFont val="Arial"/>
        <family val="2"/>
      </rPr>
      <t xml:space="preserve"> Clesta</t>
    </r>
    <r>
      <rPr>
        <sz val="9"/>
        <rFont val="Arial"/>
        <family val="2"/>
      </rPr>
      <t xml:space="preserve"> and </t>
    </r>
    <r>
      <rPr>
        <b/>
        <sz val="9"/>
        <rFont val="Arial"/>
        <family val="2"/>
      </rPr>
      <t xml:space="preserve"> ECO-Sys</t>
    </r>
    <r>
      <rPr>
        <sz val="9"/>
        <rFont val="Arial"/>
        <family val="2"/>
      </rPr>
      <t xml:space="preserve"> Track Lights, for 8ft Ceiling</t>
    </r>
  </si>
  <si>
    <t>LPTT8.5</t>
  </si>
  <si>
    <t>Suspension tube, Clesta Track Lights, for 8-1/2 ft Ceiling</t>
  </si>
  <si>
    <t>LPTT9</t>
  </si>
  <si>
    <t>Suspension tube, Clesta Track Lights, for 9ft Ceiling</t>
  </si>
  <si>
    <t>LPTT9.5</t>
  </si>
  <si>
    <t>Suspension tube, Clesta Track Lights, for 9-1/2ft Ceiling</t>
  </si>
  <si>
    <t>LPTT10</t>
  </si>
  <si>
    <t>Suspension tube, Clesta Track Lights, for 10 ft Ceiling</t>
  </si>
  <si>
    <t>LPCCG8</t>
  </si>
  <si>
    <r>
      <t xml:space="preserve">Suspension tube, </t>
    </r>
    <r>
      <rPr>
        <b/>
        <sz val="9"/>
        <rFont val="Arial"/>
        <family val="2"/>
      </rPr>
      <t>Bel-Halo</t>
    </r>
    <r>
      <rPr>
        <sz val="9"/>
        <rFont val="Arial"/>
        <family val="2"/>
      </rPr>
      <t xml:space="preserve"> Ceiling Lights, for 8ft Ceiling</t>
    </r>
  </si>
  <si>
    <t>LPCCG8.5</t>
  </si>
  <si>
    <r>
      <t xml:space="preserve">Suspension tube, </t>
    </r>
    <r>
      <rPr>
        <b/>
        <sz val="9"/>
        <rFont val="Arial"/>
        <family val="2"/>
      </rPr>
      <t>Bel-Halo</t>
    </r>
    <r>
      <rPr>
        <sz val="9"/>
        <rFont val="Arial"/>
        <family val="2"/>
      </rPr>
      <t xml:space="preserve"> Ceiling Lights, for 8-1/2 ft Ceiling</t>
    </r>
  </si>
  <si>
    <t>LPCCG9</t>
  </si>
  <si>
    <r>
      <t xml:space="preserve">Suspension tube, </t>
    </r>
    <r>
      <rPr>
        <b/>
        <sz val="9"/>
        <rFont val="Arial"/>
        <family val="2"/>
      </rPr>
      <t>Bel-Halo</t>
    </r>
    <r>
      <rPr>
        <sz val="9"/>
        <rFont val="Arial"/>
        <family val="2"/>
      </rPr>
      <t xml:space="preserve"> Ceiling Lights, for 9ft Ceiling</t>
    </r>
  </si>
  <si>
    <t>LPCCG9.5</t>
  </si>
  <si>
    <r>
      <t xml:space="preserve">Suspension tube, </t>
    </r>
    <r>
      <rPr>
        <b/>
        <sz val="9"/>
        <rFont val="Arial"/>
        <family val="2"/>
      </rPr>
      <t>Bel-Halo</t>
    </r>
    <r>
      <rPr>
        <sz val="9"/>
        <rFont val="Arial"/>
        <family val="2"/>
      </rPr>
      <t xml:space="preserve"> Ceiling Lights, for 9-1/2ft Ceiling</t>
    </r>
  </si>
  <si>
    <t>LPCCG10</t>
  </si>
  <si>
    <r>
      <t xml:space="preserve">Suspension tube, </t>
    </r>
    <r>
      <rPr>
        <b/>
        <sz val="9"/>
        <rFont val="Arial"/>
        <family val="2"/>
      </rPr>
      <t>Bel-Halo</t>
    </r>
    <r>
      <rPr>
        <sz val="9"/>
        <rFont val="Arial"/>
        <family val="2"/>
      </rPr>
      <t xml:space="preserve"> Ceiling Lights, for 10ft Ceiling</t>
    </r>
  </si>
  <si>
    <t>LPTTG8</t>
  </si>
  <si>
    <r>
      <t>Suspension tube,</t>
    </r>
    <r>
      <rPr>
        <b/>
        <sz val="9"/>
        <rFont val="Arial"/>
        <family val="2"/>
      </rPr>
      <t xml:space="preserve"> Bel-Halo </t>
    </r>
    <r>
      <rPr>
        <sz val="9"/>
        <rFont val="Arial"/>
        <family val="2"/>
      </rPr>
      <t>Track Lights, for 8ft Ceiling</t>
    </r>
  </si>
  <si>
    <t>LPBTG8.5</t>
  </si>
  <si>
    <r>
      <t>Suspension tube,</t>
    </r>
    <r>
      <rPr>
        <b/>
        <sz val="9"/>
        <rFont val="Arial"/>
        <family val="2"/>
      </rPr>
      <t xml:space="preserve"> Bel-Halo </t>
    </r>
    <r>
      <rPr>
        <sz val="9"/>
        <rFont val="Arial"/>
        <family val="2"/>
      </rPr>
      <t>Track Lights, for 8-1/2 ft Ceiling</t>
    </r>
  </si>
  <si>
    <t>LPBTG9</t>
  </si>
  <si>
    <r>
      <t>Suspension tube,</t>
    </r>
    <r>
      <rPr>
        <b/>
        <sz val="9"/>
        <rFont val="Arial"/>
        <family val="2"/>
      </rPr>
      <t xml:space="preserve"> Bel-Halo </t>
    </r>
    <r>
      <rPr>
        <sz val="9"/>
        <rFont val="Arial"/>
        <family val="2"/>
      </rPr>
      <t>Track Lights, for 9 ft Ceiling</t>
    </r>
  </si>
  <si>
    <t>LPBTG9.5</t>
  </si>
  <si>
    <r>
      <t>Suspension tube,</t>
    </r>
    <r>
      <rPr>
        <b/>
        <sz val="9"/>
        <rFont val="Arial"/>
        <family val="2"/>
      </rPr>
      <t xml:space="preserve"> Bel-Halo </t>
    </r>
    <r>
      <rPr>
        <sz val="9"/>
        <rFont val="Arial"/>
        <family val="2"/>
      </rPr>
      <t>Track Lights, for 9-1/2 ft Ceiling</t>
    </r>
  </si>
  <si>
    <t>LPBTG10</t>
  </si>
  <si>
    <r>
      <t>Suspension tube,</t>
    </r>
    <r>
      <rPr>
        <b/>
        <sz val="9"/>
        <rFont val="Arial"/>
        <family val="2"/>
      </rPr>
      <t xml:space="preserve"> Bel-Halo </t>
    </r>
    <r>
      <rPr>
        <sz val="9"/>
        <rFont val="Arial"/>
        <family val="2"/>
      </rPr>
      <t>Track Lights, for 10 ft Ceiling</t>
    </r>
  </si>
  <si>
    <t>Q5000FCT</t>
  </si>
  <si>
    <t>Foot Control w- 3 Programs</t>
  </si>
  <si>
    <t>QDU0001</t>
  </si>
  <si>
    <t>Additional HP Holder with 4 hole straight asepsis tubing w/ Midwest style connector</t>
  </si>
  <si>
    <t>QDU0002</t>
  </si>
  <si>
    <t>Additional handpiece holder (inactive)</t>
  </si>
  <si>
    <t>QDU0003</t>
  </si>
  <si>
    <t>Tray Holder</t>
  </si>
  <si>
    <t>QDU0011</t>
  </si>
  <si>
    <t>Additional HVE                                                                                                                                                             (Note: Can not be ordered on same unit as QDU0049)</t>
  </si>
  <si>
    <t>QDU0012</t>
  </si>
  <si>
    <t>Fibre-optic Tubing Assembly With 6-pin Connector, Silicone Tubing, Instead Of Std. Turbine Air Hose</t>
  </si>
  <si>
    <t>QDU0021</t>
  </si>
  <si>
    <t>Ultrasonic Scaler With Light, Belmont DA-150SL, Instead Of Standard Air Turbine Hose</t>
  </si>
  <si>
    <t>QDU0022</t>
  </si>
  <si>
    <t>Micromotor, Belmont DA-700E, Instead Of Standard Air Turbine Hose</t>
  </si>
  <si>
    <t>QDU0023</t>
  </si>
  <si>
    <t>Micromotor, Second, Belmont DA-700E, Instead Of Standard Air Turbine Hose</t>
  </si>
  <si>
    <t>QDU0026</t>
  </si>
  <si>
    <t>Micromotor, Bien Air MX, Instead Of Standard Air Turbine Hose</t>
  </si>
  <si>
    <t>QDU0027</t>
  </si>
  <si>
    <t>Micromotor, Second, Bien Air MX, Instead Of Standard Air Turbine Hose</t>
  </si>
  <si>
    <t>QDU0029</t>
  </si>
  <si>
    <t>Curing Light, Satelec Mini LED, Without Inactive Holder (Requires Option QDU0002)</t>
  </si>
  <si>
    <t>QDU0031</t>
  </si>
  <si>
    <t>City Water System Components</t>
  </si>
  <si>
    <t>QDU0032</t>
  </si>
  <si>
    <t>Sopro 717 Intra-oral Camera Handpiece only, without docking station</t>
  </si>
  <si>
    <t>QDU0033</t>
  </si>
  <si>
    <t>Docking Station DOCK MU-USB2 and pre-wired cord only for Sopro 717 Intra-oral camera, instead of standard air turbine hose</t>
  </si>
  <si>
    <t>QDU0041</t>
  </si>
  <si>
    <t>Master Switch, J-box,  A/W utilities (Required if mounted on chair w/o delivery)</t>
  </si>
  <si>
    <t>QDU0042</t>
  </si>
  <si>
    <t>Master Switch, J-box w/ transformer, A/W utilities (Required if mounted on chair w/o delivery)</t>
  </si>
  <si>
    <t>QDU0045</t>
  </si>
  <si>
    <t>City/Bottle routing valve only to be added to water bottle</t>
  </si>
  <si>
    <t>QDU0047</t>
  </si>
  <si>
    <t>Bottled Water System (for cupfill &amp; syringe)</t>
  </si>
  <si>
    <t>QDU0048</t>
  </si>
  <si>
    <t>Vacuum Drain valve &amp; Manual drain toggle</t>
  </si>
  <si>
    <t>QDU0049</t>
  </si>
  <si>
    <t>Curing Light, Satelec Mini LED                                                                                           (Note: Can not be ordered on same unit as QDU0011)</t>
  </si>
  <si>
    <t>QDUUMB5300</t>
  </si>
  <si>
    <t>Additional Umbilical (Cost/Foot) for QDU-5300</t>
    <phoneticPr fontId="5" type="noConversion"/>
  </si>
  <si>
    <t>QDUUMB5370</t>
  </si>
  <si>
    <t>Additional Umbilical (Cost/Foot) for QDU-5370</t>
  </si>
  <si>
    <t>QDUUMB5371</t>
  </si>
  <si>
    <t>Additional Umbilical (Cost/Foot) for QDU-5371</t>
  </si>
  <si>
    <t>QDUUMB5375</t>
  </si>
  <si>
    <t>Additional Umbilical (Cost/Foot) for QDU-5375</t>
  </si>
  <si>
    <t>QDUUMB5379</t>
  </si>
  <si>
    <t>Additional Umbilical (Cost/Foot) for QDU-5379</t>
  </si>
  <si>
    <t>QDUUMB5400</t>
  </si>
  <si>
    <t>Additional Umbilical (Cost/Foot) for QDU-5400</t>
  </si>
  <si>
    <t>QDUUMB5470</t>
  </si>
  <si>
    <t>Additional Umbilical (Cost/Foot) for QDU-5470</t>
  </si>
  <si>
    <t>QDUUMB5471</t>
  </si>
  <si>
    <t>Additional Umbilical (Cost/Foot) for QDU-5471</t>
  </si>
  <si>
    <t>QDUUMB5475</t>
  </si>
  <si>
    <t>Additional Umbilical (Cost/Foot) for QDU-5475</t>
  </si>
  <si>
    <t>QDUUMB5479</t>
  </si>
  <si>
    <t>Additional Umbilical (Cost/Foot) for QDU-5479</t>
  </si>
  <si>
    <t>QDUUMB5670</t>
  </si>
  <si>
    <t>Additional Umbilical (Cost/Foot) for QDU-5670</t>
  </si>
  <si>
    <t>QDUUMB5671</t>
  </si>
  <si>
    <t>Additional Umbilical (Cost/Foot) for QDU-5671</t>
  </si>
  <si>
    <t>QDUUMB5675</t>
  </si>
  <si>
    <t>Additional Umbilical (Cost/Foot) for QDU-5675</t>
  </si>
  <si>
    <t>QDUUMB5679</t>
  </si>
  <si>
    <t>Additional Umbilical (Cost/Foot) for QDU-5679</t>
  </si>
  <si>
    <t>QDUUMB5800</t>
  </si>
  <si>
    <t>Additional Umbilical (Cost/Foot) for QDU-5800</t>
  </si>
  <si>
    <t>QDUUMB5870</t>
  </si>
  <si>
    <t>Additional Umbilical (Cost/Foot) for QDU-5870</t>
  </si>
  <si>
    <t>QDUUMB5871</t>
  </si>
  <si>
    <t>Additional Umbilical (Cost/Foot) for QDU-5871</t>
  </si>
  <si>
    <t>QDUUMB5875</t>
  </si>
  <si>
    <t>Additional Umbilical (Cost/Foot) for QDU-5875</t>
  </si>
  <si>
    <t>QDUUMB5879</t>
  </si>
  <si>
    <t>Additional Umbilical (Cost/Foot) for QDU-5879</t>
  </si>
  <si>
    <t>WH05B5000</t>
  </si>
  <si>
    <t>Wire Harness, 5ft., for Touchpad mounting to Q-5000</t>
  </si>
  <si>
    <t>WH05B99</t>
  </si>
  <si>
    <t>WH15B20</t>
  </si>
  <si>
    <t>Wire Harness, 15ft., for Remote Touchpad mounting to B-20</t>
  </si>
  <si>
    <t>WH15B5000</t>
  </si>
  <si>
    <t>Wire Harness, 15ft., for Remote Touchpad mounting to Q-5000</t>
  </si>
  <si>
    <t>WH15B99</t>
  </si>
  <si>
    <t>Wire Harness, 15ft., for Remote Touchpad mounting to B-20+ &amp; B-50</t>
  </si>
  <si>
    <t>90-054</t>
  </si>
  <si>
    <t>Bottled water system for mounting to vertical surface</t>
  </si>
  <si>
    <t>Bottled water system for mounting to vertical surface and under worksurfaces</t>
  </si>
  <si>
    <t>90-060</t>
  </si>
  <si>
    <t>Conversion Kit, Bottled Water to City/Bottle Water Source, BDS-2561/ BDS-2563/ BDS-2564 / BDS-2541 / BDS-2543</t>
  </si>
  <si>
    <t>90-140</t>
  </si>
  <si>
    <t>Cut out for Analgesia</t>
  </si>
  <si>
    <t>90-174</t>
  </si>
  <si>
    <t>Air and Water Accessory Panel</t>
  </si>
  <si>
    <t>90-239</t>
  </si>
  <si>
    <t>Pass-Thru upper storage</t>
  </si>
  <si>
    <t>90-341</t>
  </si>
  <si>
    <t>Stationary base, no casters</t>
  </si>
  <si>
    <t>No Additional Charge when ordered with cabinet</t>
  </si>
  <si>
    <t>90-466</t>
  </si>
  <si>
    <t xml:space="preserve">Deduction of sink package </t>
  </si>
  <si>
    <t>90-601</t>
  </si>
  <si>
    <r>
      <t>Tapmaster</t>
    </r>
    <r>
      <rPr>
        <vertAlign val="superscript"/>
        <sz val="9"/>
        <rFont val="Arial"/>
        <family val="2"/>
      </rPr>
      <t xml:space="preserve">TM </t>
    </r>
    <r>
      <rPr>
        <sz val="9"/>
        <rFont val="Arial"/>
        <family val="2"/>
      </rPr>
      <t>Kick Pedal</t>
    </r>
  </si>
  <si>
    <t>90-606</t>
  </si>
  <si>
    <r>
      <t>Tapmaster</t>
    </r>
    <r>
      <rPr>
        <vertAlign val="superscript"/>
        <sz val="9"/>
        <rFont val="Arial"/>
        <family val="2"/>
      </rPr>
      <t xml:space="preserve">TM </t>
    </r>
    <r>
      <rPr>
        <sz val="9"/>
        <rFont val="Arial"/>
        <family val="2"/>
      </rPr>
      <t>Cabinet Door Activation</t>
    </r>
  </si>
  <si>
    <t>90-850</t>
  </si>
  <si>
    <t>Trim kit, 2" wide</t>
  </si>
  <si>
    <t>90-851</t>
  </si>
  <si>
    <t>Lead laminated doors</t>
  </si>
  <si>
    <t>90-938</t>
  </si>
  <si>
    <t>(2) Small vent grills for storage door</t>
  </si>
  <si>
    <t>90-942</t>
  </si>
  <si>
    <t>Fully Adjustable Swivel Arm LCD Monitor mount</t>
  </si>
  <si>
    <t>90-950</t>
  </si>
  <si>
    <t>Mid- section control box for BDS-2561</t>
  </si>
  <si>
    <t>90-955</t>
  </si>
  <si>
    <t>Mid- section cut out for BDS-2571</t>
  </si>
  <si>
    <t>90-961</t>
  </si>
  <si>
    <t>Stainless steel undermount bowl</t>
  </si>
  <si>
    <t>90-962</t>
  </si>
  <si>
    <t>ECO-1 Upgrade from HD Laminate to LG Hausys HI-MACS® Solid Surface w/ Solid Bowl</t>
  </si>
  <si>
    <t>90-964</t>
  </si>
  <si>
    <t>Upgrade from HD Laminate to LG Hi-Macs® Solid Surface</t>
  </si>
  <si>
    <t>90-967</t>
  </si>
  <si>
    <t>ECO-3 Upgrade from HD Laminate to LG Hausys HI-MACS® Solid Surface w/ Solid Bowl</t>
  </si>
  <si>
    <t>90-972</t>
  </si>
  <si>
    <t>ECO-6 Upgrade from HD Laminate to LG Hausys HI-MACS® Solid Surface Tops and Sliding Surface</t>
  </si>
  <si>
    <t>90-973</t>
  </si>
  <si>
    <t>ECO-6-L Upgrade from HD Laminate to LG Hausys HI-MACS® Solid Surface Tops and Sliding Surface</t>
  </si>
  <si>
    <t>90-977</t>
  </si>
  <si>
    <t>ECO-9 Upgrade from HD Laminate to LG Hausys HI-MACS® Solid Surface</t>
  </si>
  <si>
    <t>90-987</t>
  </si>
  <si>
    <t>Upgrade from HD Laminate to LG Hausys HI-MACS® Solid Surface</t>
  </si>
  <si>
    <t>90-988</t>
  </si>
  <si>
    <t>90-990</t>
  </si>
  <si>
    <t>2" Hole for monitor arm and grommet in counter top</t>
  </si>
  <si>
    <t>90-991</t>
  </si>
  <si>
    <t>Electrical outlet, box and cover (shipped loose for cabinet interior)</t>
  </si>
  <si>
    <t>90-992</t>
  </si>
  <si>
    <t>Stainless steel wrapped toe-kick</t>
  </si>
  <si>
    <t>91-092</t>
  </si>
  <si>
    <t>D-4R Bi-fold doors for x-ray unit</t>
  </si>
  <si>
    <t>91-092H</t>
  </si>
  <si>
    <t>D-4RH Bi-fold doors for x-ray unit</t>
  </si>
  <si>
    <t>91-093</t>
  </si>
  <si>
    <t>D-4R Bi-fold doors with 1-1/2" thickness end column</t>
  </si>
  <si>
    <t>91-093H</t>
  </si>
  <si>
    <t>D-4RH Bi-fold doors with 1-1/2" thickness end column</t>
  </si>
  <si>
    <t>91-121</t>
  </si>
  <si>
    <t>Panoramic X-Ray Viewer</t>
  </si>
  <si>
    <t>91-140</t>
  </si>
  <si>
    <t>Cutout for analgesia (specify size)</t>
  </si>
  <si>
    <t>91-142</t>
  </si>
  <si>
    <t>Cut-out for recessed ultrasonic cleaner in laminate countertop</t>
  </si>
  <si>
    <t>91-143</t>
  </si>
  <si>
    <t>Cut-out for recessed ultrasonic cleaner in Cambria™  countertop</t>
  </si>
  <si>
    <t>91-150</t>
  </si>
  <si>
    <t>Cutout for communication system (specify size)</t>
  </si>
  <si>
    <t>91-160</t>
  </si>
  <si>
    <t>Drawer Module with Storage, Includes Side Storage with Adj. Shelf, and (3) 6" and (1) 8" Drawers</t>
  </si>
  <si>
    <t>91-163</t>
  </si>
  <si>
    <t>Drawer Module with Side Storage with Adj. Shelf (applicable with 91-092)</t>
  </si>
  <si>
    <t>91-169</t>
  </si>
  <si>
    <t>Upgrade standard drawers to writing surface,  (2) 5" drawers,  (1) 8" equipment  pull-out, (1) 6"drawer</t>
  </si>
  <si>
    <t>91-170</t>
  </si>
  <si>
    <t xml:space="preserve"> 2" Drawer under countertop</t>
  </si>
  <si>
    <t>91-176</t>
  </si>
  <si>
    <t>End section module- (2) door storage</t>
  </si>
  <si>
    <t>91-177</t>
  </si>
  <si>
    <t>End section module- (2) door storage for 91-092</t>
  </si>
  <si>
    <t>91-178</t>
  </si>
  <si>
    <t>End section module- (2) door pass-thru</t>
  </si>
  <si>
    <t>91-179</t>
  </si>
  <si>
    <t>End section module- (2) door pass-thru for 91-092</t>
  </si>
  <si>
    <t>91-183</t>
  </si>
  <si>
    <t>End section module- (applicable with Belmont X-rays)</t>
  </si>
  <si>
    <t>91-190</t>
  </si>
  <si>
    <t>Lead lining for D-4R</t>
  </si>
  <si>
    <t>91-190H</t>
  </si>
  <si>
    <t>Lead lining for D-4RH</t>
  </si>
  <si>
    <t>91-197</t>
  </si>
  <si>
    <t>Lead lining for D-66CM</t>
  </si>
  <si>
    <t>91-200</t>
  </si>
  <si>
    <r>
      <t xml:space="preserve">Wiring for </t>
    </r>
    <r>
      <rPr>
        <b/>
        <sz val="9"/>
        <rFont val="Arial"/>
        <family val="2"/>
      </rPr>
      <t xml:space="preserve">BLPW </t>
    </r>
    <r>
      <rPr>
        <sz val="9"/>
        <rFont val="Arial"/>
        <family val="2"/>
      </rPr>
      <t>Cabinet Lights, D-4, Factory Installation Option (UL Listed)</t>
    </r>
  </si>
  <si>
    <t>91-201</t>
  </si>
  <si>
    <r>
      <t xml:space="preserve">Field installation kit for </t>
    </r>
    <r>
      <rPr>
        <b/>
        <sz val="9"/>
        <rFont val="Arial"/>
        <family val="2"/>
      </rPr>
      <t>HLPW</t>
    </r>
    <r>
      <rPr>
        <sz val="9"/>
        <rFont val="Arial"/>
        <family val="2"/>
      </rPr>
      <t xml:space="preserve">,  </t>
    </r>
    <r>
      <rPr>
        <b/>
        <sz val="9"/>
        <rFont val="Arial"/>
        <family val="2"/>
      </rPr>
      <t>D-4</t>
    </r>
    <r>
      <rPr>
        <sz val="9"/>
        <rFont val="Arial"/>
        <family val="2"/>
      </rPr>
      <t xml:space="preserve"> Cabinets, (Lights lose UL listing)</t>
    </r>
  </si>
  <si>
    <t>91-200C</t>
  </si>
  <si>
    <r>
      <t xml:space="preserve">Wiring for </t>
    </r>
    <r>
      <rPr>
        <b/>
        <sz val="9"/>
        <rFont val="Arial"/>
        <family val="2"/>
      </rPr>
      <t xml:space="preserve">AL517N Clesta </t>
    </r>
    <r>
      <rPr>
        <sz val="9"/>
        <rFont val="Arial"/>
        <family val="2"/>
      </rPr>
      <t>Cabinet Lights D-4, Factory Installation Option (ETL Listed)</t>
    </r>
  </si>
  <si>
    <t>91-200H</t>
  </si>
  <si>
    <t>Factory Installation Option for Mounting Bel-Halo 907 to D-4R Cabinets</t>
  </si>
  <si>
    <t>91-201C</t>
  </si>
  <si>
    <r>
      <t xml:space="preserve">Field installation kit for </t>
    </r>
    <r>
      <rPr>
        <b/>
        <sz val="9"/>
        <rFont val="Arial"/>
        <family val="2"/>
      </rPr>
      <t>AL-517N</t>
    </r>
    <r>
      <rPr>
        <sz val="9"/>
        <rFont val="Arial"/>
        <family val="2"/>
      </rPr>
      <t xml:space="preserve"> Clesta light (no ETL listing)</t>
    </r>
  </si>
  <si>
    <t>91-201H</t>
  </si>
  <si>
    <t>Field Installation Kit for Mounting Bel-Halo 907 to D-4R Cabinets  (no ETL listing)</t>
  </si>
  <si>
    <t>91-204</t>
  </si>
  <si>
    <t>Task lighting</t>
  </si>
  <si>
    <t>91-206</t>
  </si>
  <si>
    <t>LED Task lighting/ per light</t>
  </si>
  <si>
    <t>91-240</t>
  </si>
  <si>
    <t>34" Pass-Thru upper storage</t>
  </si>
  <si>
    <t>91-240-53</t>
  </si>
  <si>
    <t>45" Pass-Thru upper storage for D-66CM-53</t>
  </si>
  <si>
    <t>91-271</t>
  </si>
  <si>
    <t xml:space="preserve">Additional tempered glass shelf </t>
  </si>
  <si>
    <t>91-272</t>
  </si>
  <si>
    <t>Additional tempered glass shelf 1/4"x 5-3/16"x 15-1/8"</t>
  </si>
  <si>
    <t>91-273</t>
  </si>
  <si>
    <t>Additional tempered glass shelf</t>
  </si>
  <si>
    <t>91-274</t>
  </si>
  <si>
    <t>Additional tempered glass shelf 1/4" x 9-13/16" x 16-9/16"</t>
  </si>
  <si>
    <t>91-282</t>
  </si>
  <si>
    <t>Additional shelf for lower storage 1/2" x 13-3/4" x 16-1/2"</t>
  </si>
  <si>
    <t>91-283</t>
  </si>
  <si>
    <t>Additional shelf for lower storage 1/2" x 13-3/4" x 11-1/8"</t>
  </si>
  <si>
    <t>91-399</t>
  </si>
  <si>
    <t xml:space="preserve">D-9 Upgrade from HD laminate to  LG Hausys HI-MACS® Solid Surface </t>
  </si>
  <si>
    <t>91-401</t>
  </si>
  <si>
    <t>Cabinet mounted USB hub</t>
  </si>
  <si>
    <t>91-410</t>
  </si>
  <si>
    <t>D-1 Upgrade from HD Laminate to LG Hausys HI-MACS® Solid Surface (Select Sink)</t>
  </si>
  <si>
    <t>91-411</t>
  </si>
  <si>
    <t xml:space="preserve">D-2L Upgrade from HD Laminate to LG Hausys HI-MACS® Solid Surface </t>
  </si>
  <si>
    <t>91-412</t>
  </si>
  <si>
    <t>D-3 Upgrade from HD Laminate to LG Hausys HI-MACS® Solid Surface (Select Sink)</t>
  </si>
  <si>
    <t>91-413</t>
  </si>
  <si>
    <r>
      <t>D-4 Upgrade from HD Laminate to LG Hausys HI-MACS</t>
    </r>
    <r>
      <rPr>
        <sz val="9"/>
        <rFont val="Calibri"/>
        <family val="2"/>
      </rPr>
      <t>®</t>
    </r>
    <r>
      <rPr>
        <sz val="9"/>
        <rFont val="Arial"/>
        <family val="2"/>
      </rPr>
      <t xml:space="preserve"> Solid Surface (Select Sink)</t>
    </r>
  </si>
  <si>
    <t>91-414</t>
  </si>
  <si>
    <t>D-4 w/ bifold, Upgrade from HD laminate to  LG Hausys HI-MACS® Solid Surface (Select Sink)</t>
  </si>
  <si>
    <t>91-416</t>
  </si>
  <si>
    <t>D-5CM-L Upgrade from HD laminate to  LG Hausys HI-MACS® Solid Surface Tops and Sliding Surface</t>
  </si>
  <si>
    <t>91-417</t>
  </si>
  <si>
    <t>D-5CM Upgrade from HD laminate to  LG Hausys HI-MACS® Solid Surface Top and Sliding Surface</t>
  </si>
  <si>
    <t>91-418</t>
  </si>
  <si>
    <t>D-66CM Upgrade from HD laminate to  LG Hausys HI-MACS® Solid Surface Top and Sliding Surface</t>
  </si>
  <si>
    <t>91-418-53</t>
  </si>
  <si>
    <t>D-66CM-53 Upgrade from HD laminate to  LG Hausys HI-MACS® Solid Surface Top and Sliding Surface</t>
  </si>
  <si>
    <t>91-419</t>
  </si>
  <si>
    <t>D-66CM-L Upgrade from HD laminate to  LG Hausys HI-MACS® Solid Surface Tops and Sliding Surface</t>
  </si>
  <si>
    <t>91-420</t>
  </si>
  <si>
    <t>D-96 Upgrade from HD Laminate to LG Hausys HI-MACS® Solid Surface</t>
  </si>
  <si>
    <t>91-429</t>
  </si>
  <si>
    <r>
      <t>D-9 Upgrade from HD Laminate to Cambria</t>
    </r>
    <r>
      <rPr>
        <sz val="9"/>
        <rFont val="Calibri"/>
        <family val="2"/>
      </rPr>
      <t>™</t>
    </r>
    <r>
      <rPr>
        <sz val="9"/>
        <rFont val="Arial"/>
        <family val="2"/>
      </rPr>
      <t xml:space="preserve"> Quartz work surface</t>
    </r>
  </si>
  <si>
    <t>91-440</t>
  </si>
  <si>
    <r>
      <t>D-1 Upgrade from HD Laminate to Cambria</t>
    </r>
    <r>
      <rPr>
        <sz val="9"/>
        <rFont val="Calibri"/>
        <family val="2"/>
      </rPr>
      <t>™</t>
    </r>
    <r>
      <rPr>
        <sz val="9"/>
        <rFont val="Arial"/>
        <family val="2"/>
      </rPr>
      <t xml:space="preserve"> Quartz work surface (Select Sink)</t>
    </r>
  </si>
  <si>
    <t>91-441</t>
  </si>
  <si>
    <t xml:space="preserve">D-2L Upgrade from HD Laminate to Cambria™ Work Surface </t>
  </si>
  <si>
    <t>91-442</t>
  </si>
  <si>
    <r>
      <t>D-3 Upgrade from HD Laminate to Cambria</t>
    </r>
    <r>
      <rPr>
        <sz val="9"/>
        <rFont val="Calibri"/>
        <family val="2"/>
      </rPr>
      <t>™</t>
    </r>
    <r>
      <rPr>
        <sz val="9"/>
        <rFont val="Arial"/>
        <family val="2"/>
      </rPr>
      <t xml:space="preserve"> Quartz work surface (Select Sink)</t>
    </r>
  </si>
  <si>
    <t>91-443</t>
  </si>
  <si>
    <r>
      <t>D-4 Upgrade from HD Laminate to Cambria</t>
    </r>
    <r>
      <rPr>
        <sz val="9"/>
        <rFont val="Calibri"/>
        <family val="2"/>
      </rPr>
      <t>™</t>
    </r>
    <r>
      <rPr>
        <sz val="9"/>
        <rFont val="Arial"/>
        <family val="2"/>
      </rPr>
      <t xml:space="preserve"> Quartz work surface (Select Sink)</t>
    </r>
  </si>
  <si>
    <t>91-444</t>
  </si>
  <si>
    <r>
      <t>D-4 w/ bi-fold, Upgrade from HD Laminate to Cambria</t>
    </r>
    <r>
      <rPr>
        <sz val="9"/>
        <rFont val="Calibri"/>
        <family val="2"/>
      </rPr>
      <t>™</t>
    </r>
    <r>
      <rPr>
        <sz val="9"/>
        <rFont val="Arial"/>
        <family val="2"/>
      </rPr>
      <t xml:space="preserve"> Quartz work surface (Select Sink)</t>
    </r>
  </si>
  <si>
    <t>91-446</t>
  </si>
  <si>
    <r>
      <t>D-5CM-L Upgrade from HD Laminate to Cambria</t>
    </r>
    <r>
      <rPr>
        <sz val="9"/>
        <rFont val="Calibri"/>
        <family val="2"/>
      </rPr>
      <t>™</t>
    </r>
    <r>
      <rPr>
        <sz val="9"/>
        <rFont val="Arial"/>
        <family val="2"/>
      </rPr>
      <t xml:space="preserve"> Quartz work surfaces  and Sliding Top</t>
    </r>
  </si>
  <si>
    <t>91-447</t>
  </si>
  <si>
    <r>
      <t>D-5CM Upgrade from HD Laminate to Cambria</t>
    </r>
    <r>
      <rPr>
        <sz val="9"/>
        <rFont val="Calibri"/>
        <family val="2"/>
      </rPr>
      <t>™</t>
    </r>
    <r>
      <rPr>
        <sz val="9"/>
        <rFont val="Arial"/>
        <family val="2"/>
      </rPr>
      <t xml:space="preserve"> Quartz work surface  and Sliding Top</t>
    </r>
  </si>
  <si>
    <t>91-448</t>
  </si>
  <si>
    <r>
      <t>D-66CM Upgrade from HD Laminate to Cambria</t>
    </r>
    <r>
      <rPr>
        <sz val="9"/>
        <rFont val="Calibri"/>
        <family val="2"/>
      </rPr>
      <t>™</t>
    </r>
    <r>
      <rPr>
        <sz val="9"/>
        <rFont val="Arial"/>
        <family val="2"/>
      </rPr>
      <t xml:space="preserve"> Quartz work surface  and Sliding Top</t>
    </r>
  </si>
  <si>
    <t>91-448-53</t>
  </si>
  <si>
    <r>
      <t>D-66CM-53 Upgrade from HD Laminate to Cambria</t>
    </r>
    <r>
      <rPr>
        <sz val="9"/>
        <rFont val="Calibri"/>
        <family val="2"/>
      </rPr>
      <t>™</t>
    </r>
    <r>
      <rPr>
        <sz val="9"/>
        <rFont val="Arial"/>
        <family val="2"/>
      </rPr>
      <t xml:space="preserve"> Quartz work surface  and Sliding Top</t>
    </r>
  </si>
  <si>
    <t>91-449</t>
  </si>
  <si>
    <r>
      <t>D-66CM-L Upgrade from HD Laminate to Cambria</t>
    </r>
    <r>
      <rPr>
        <sz val="9"/>
        <rFont val="Calibri"/>
        <family val="2"/>
      </rPr>
      <t>™</t>
    </r>
    <r>
      <rPr>
        <sz val="9"/>
        <rFont val="Arial"/>
        <family val="2"/>
      </rPr>
      <t xml:space="preserve"> Quartz work surfaces  and Sliding Top</t>
    </r>
  </si>
  <si>
    <t>91-450</t>
  </si>
  <si>
    <r>
      <t>D-96 Upgrade from HD Laminate to Cambria</t>
    </r>
    <r>
      <rPr>
        <sz val="9"/>
        <rFont val="Calibri"/>
        <family val="2"/>
      </rPr>
      <t>™</t>
    </r>
    <r>
      <rPr>
        <sz val="9"/>
        <rFont val="Arial"/>
        <family val="2"/>
      </rPr>
      <t xml:space="preserve"> Quartz work surface</t>
    </r>
  </si>
  <si>
    <t>91-452</t>
  </si>
  <si>
    <r>
      <t>D-8 Upgrade from HD Laminate to Cambria</t>
    </r>
    <r>
      <rPr>
        <sz val="9"/>
        <rFont val="Calibri"/>
        <family val="2"/>
      </rPr>
      <t>™</t>
    </r>
    <r>
      <rPr>
        <sz val="9"/>
        <rFont val="Arial"/>
        <family val="2"/>
      </rPr>
      <t xml:space="preserve"> Quartz work surface (Select Sink)</t>
    </r>
  </si>
  <si>
    <t>91-461</t>
  </si>
  <si>
    <t>Telescopic faucet</t>
  </si>
  <si>
    <t>91-466</t>
  </si>
  <si>
    <t>91-470</t>
  </si>
  <si>
    <t>Stainless Steel Faucet/Soap Dispenser</t>
  </si>
  <si>
    <t>91-473</t>
  </si>
  <si>
    <t>Stainless Steel undermount sink w/ Cambria Countertop</t>
  </si>
  <si>
    <t>91-482</t>
  </si>
  <si>
    <t>D-8 Upgrade from HD laminate to  LG Hausys HI-MACS® Solid Surface  (Select Sink)</t>
  </si>
  <si>
    <t>91-483</t>
  </si>
  <si>
    <t>D-66CM-DS Upgrade from HD laminate to  LG Hausys HI-MACS® Solid Surface Tops and Sliding Surface (Select Sinks)</t>
  </si>
  <si>
    <t>91-484</t>
  </si>
  <si>
    <t>D-66CM-LS/RS Upgrade from HD laminate to  LG Hausys HI-MACS® Solid Surface Tops and Sliding Surface (Select Sink)</t>
  </si>
  <si>
    <t>91-485</t>
  </si>
  <si>
    <r>
      <t>D-66CM-DS Upgrade from HD Laminate to Cambria</t>
    </r>
    <r>
      <rPr>
        <sz val="9"/>
        <rFont val="Calibri"/>
        <family val="2"/>
      </rPr>
      <t>™</t>
    </r>
    <r>
      <rPr>
        <sz val="9"/>
        <rFont val="Arial"/>
        <family val="2"/>
      </rPr>
      <t xml:space="preserve"> Quartz work surface  and Sliding Top (Select Sinks)</t>
    </r>
  </si>
  <si>
    <t>91-486</t>
  </si>
  <si>
    <r>
      <t>D-66CM-LS/RS Upgrade from HD Laminate to Cambria</t>
    </r>
    <r>
      <rPr>
        <sz val="9"/>
        <rFont val="Calibri"/>
        <family val="2"/>
      </rPr>
      <t>™</t>
    </r>
    <r>
      <rPr>
        <sz val="9"/>
        <rFont val="Arial"/>
        <family val="2"/>
      </rPr>
      <t xml:space="preserve"> Quartz work surface  and Sliding Top (Select Sinks)</t>
    </r>
  </si>
  <si>
    <t>91-520</t>
  </si>
  <si>
    <t>5", 7" equipment pull-out and 9" drawers</t>
  </si>
  <si>
    <t>91-521</t>
  </si>
  <si>
    <t>5" and (2) doors</t>
  </si>
  <si>
    <t>91-522</t>
  </si>
  <si>
    <t>5", 7" and 9" drawers</t>
  </si>
  <si>
    <t>91-522A</t>
  </si>
  <si>
    <t>False front, 7" and 9" drawers</t>
  </si>
  <si>
    <t>91-523</t>
  </si>
  <si>
    <t>5", 3", 3" and 9" drawers</t>
  </si>
  <si>
    <t>91-541</t>
  </si>
  <si>
    <t>5" and door</t>
  </si>
  <si>
    <t>91-542</t>
  </si>
  <si>
    <t>91-543</t>
  </si>
  <si>
    <t>91-544</t>
  </si>
  <si>
    <t>5", 7" equipment pull-out and 9" equip pull-out drawers</t>
  </si>
  <si>
    <t>91-545</t>
  </si>
  <si>
    <t>5", 7" equipment pull-out, 3" and 6" drawers</t>
  </si>
  <si>
    <t>91-546</t>
  </si>
  <si>
    <t>Breadboard, (2) 7" equip pull-outs and 6" drawers</t>
  </si>
  <si>
    <t>91-547</t>
  </si>
  <si>
    <t>(2) 4", 7" equip pull-out and 6" drawers</t>
  </si>
  <si>
    <t>91-601</t>
  </si>
  <si>
    <r>
      <t>Tapmaster</t>
    </r>
    <r>
      <rPr>
        <vertAlign val="superscript"/>
        <sz val="9"/>
        <rFont val="Arial"/>
        <family val="2"/>
      </rPr>
      <t xml:space="preserve">TM </t>
    </r>
    <r>
      <rPr>
        <sz val="9"/>
        <rFont val="Arial"/>
        <family val="2"/>
      </rPr>
      <t>Kick Pedal with manual faucet</t>
    </r>
  </si>
  <si>
    <t>91-602</t>
  </si>
  <si>
    <t>Tapmaster™  single  kick pedal and  cabinet door combination with manual faucet (D-1, D-3, D-8 only)</t>
  </si>
  <si>
    <t>91-603</t>
  </si>
  <si>
    <t>Tapmaster™ Dual kick pedal with manual faucet</t>
  </si>
  <si>
    <t>91-605</t>
  </si>
  <si>
    <t>Manual Faucet</t>
  </si>
  <si>
    <t>91-606</t>
  </si>
  <si>
    <t>Tapmaster™  cabinet door activation with manual faucet</t>
  </si>
  <si>
    <t>91-607</t>
  </si>
  <si>
    <t>Tapmaster™ Dual cabinet door activation with manual faucet</t>
  </si>
  <si>
    <t>91-620</t>
  </si>
  <si>
    <r>
      <t>Undermount Solid Bowl (Solid Surface or Cambria</t>
    </r>
    <r>
      <rPr>
        <sz val="9"/>
        <color theme="1"/>
        <rFont val="Calibri"/>
        <family val="2"/>
      </rPr>
      <t>™</t>
    </r>
    <r>
      <rPr>
        <sz val="9"/>
        <color theme="1"/>
        <rFont val="Arial"/>
        <family val="2"/>
      </rPr>
      <t>)</t>
    </r>
  </si>
  <si>
    <t>91-620-2</t>
  </si>
  <si>
    <r>
      <t>(2) Undermount Solid Bowls (Solid Surface or Cambria</t>
    </r>
    <r>
      <rPr>
        <sz val="9"/>
        <color theme="1"/>
        <rFont val="Calibri"/>
        <family val="2"/>
      </rPr>
      <t>™</t>
    </r>
    <r>
      <rPr>
        <sz val="9"/>
        <color theme="1"/>
        <rFont val="Arial"/>
        <family val="2"/>
      </rPr>
      <t>)</t>
    </r>
  </si>
  <si>
    <t>91-621</t>
  </si>
  <si>
    <r>
      <t>Undermount Stainless Steel Sink (Solid Surface or Cambria</t>
    </r>
    <r>
      <rPr>
        <sz val="9"/>
        <color theme="1"/>
        <rFont val="Calibri"/>
        <family val="2"/>
      </rPr>
      <t>™</t>
    </r>
    <r>
      <rPr>
        <sz val="9"/>
        <color theme="1"/>
        <rFont val="Arial"/>
        <family val="2"/>
      </rPr>
      <t>)</t>
    </r>
  </si>
  <si>
    <t>91-621-2</t>
  </si>
  <si>
    <r>
      <t>(2) Undermount Stainless Steel Sinks (Solid Surface or Cambria</t>
    </r>
    <r>
      <rPr>
        <sz val="9"/>
        <color theme="1"/>
        <rFont val="Calibri"/>
        <family val="2"/>
      </rPr>
      <t>™</t>
    </r>
    <r>
      <rPr>
        <sz val="9"/>
        <color theme="1"/>
        <rFont val="Arial"/>
        <family val="2"/>
      </rPr>
      <t>)</t>
    </r>
  </si>
  <si>
    <t>91-701</t>
  </si>
  <si>
    <t>Full back panel (applicable w/ D-1 &amp; D-2)</t>
  </si>
  <si>
    <t>91-702</t>
  </si>
  <si>
    <t>Short back panel (applicable w/ D-1 &amp; D-2L)</t>
  </si>
  <si>
    <t>91-703</t>
  </si>
  <si>
    <t>Finished back panel</t>
  </si>
  <si>
    <t>91-704</t>
  </si>
  <si>
    <t>Finished end panel</t>
  </si>
  <si>
    <t>91-805</t>
  </si>
  <si>
    <t>Glove/Tissue Dispenser on door</t>
  </si>
  <si>
    <t>91-806</t>
  </si>
  <si>
    <t>Sharps disposal hanger</t>
  </si>
  <si>
    <t>91-935</t>
  </si>
  <si>
    <t>Slide-in pocket door</t>
  </si>
  <si>
    <t>91-936</t>
  </si>
  <si>
    <t>CPU pull-out shelf</t>
  </si>
  <si>
    <t>91-937</t>
  </si>
  <si>
    <t>Fan for computer vent</t>
  </si>
  <si>
    <t>91-938</t>
  </si>
  <si>
    <t>Vent grills on door</t>
  </si>
  <si>
    <t>91-939</t>
  </si>
  <si>
    <t>Monitor Arm for flat panel PC monitor</t>
  </si>
  <si>
    <t>91-949</t>
  </si>
  <si>
    <t>Under Cabinet Left to Right Sliding Flat Panel PC Monitor Mount</t>
  </si>
  <si>
    <t>91-950</t>
  </si>
  <si>
    <t>Mid Section Control Box With Worksurface, D-66 cabinets</t>
  </si>
  <si>
    <t>91-993</t>
  </si>
  <si>
    <t>Substitute D-Series Pulls</t>
  </si>
  <si>
    <t>92-092</t>
  </si>
  <si>
    <t>Bi-fold doors for x-ray unit</t>
  </si>
  <si>
    <t>92-093</t>
  </si>
  <si>
    <t>Bi-fold doors with 1-1/2" thickness end column</t>
  </si>
  <si>
    <t>92-121</t>
  </si>
  <si>
    <t>Bitewing Viewer</t>
  </si>
  <si>
    <t>92-123</t>
  </si>
  <si>
    <t>92-140</t>
  </si>
  <si>
    <t>Cutout for analgesia (specify size &amp; location)</t>
  </si>
  <si>
    <t>92-142</t>
  </si>
  <si>
    <t>92-143</t>
  </si>
  <si>
    <t>Cut-out for recessed ultrasonic cleaner in Cambria™ countertop</t>
  </si>
  <si>
    <t>92-150</t>
  </si>
  <si>
    <t>Cutout for communication system (specify size &amp; location)</t>
  </si>
  <si>
    <t>92-160</t>
  </si>
  <si>
    <t>Drawer Module with Storage, Includes Side Storage with Adj. Shelf, and (1) 4", (2) 5", and (1) 8" Drawers</t>
  </si>
  <si>
    <t>92-163</t>
  </si>
  <si>
    <t>Drawer Module w/door and adjustable shelf (applicable with 92-092)</t>
  </si>
  <si>
    <t>92-169</t>
  </si>
  <si>
    <t>92-170</t>
  </si>
  <si>
    <t>2" drawer under countertop</t>
  </si>
  <si>
    <t>92-176</t>
  </si>
  <si>
    <t>92-177</t>
  </si>
  <si>
    <t>End section module- (2) door storage for 92-092</t>
  </si>
  <si>
    <t>92-178</t>
  </si>
  <si>
    <t>92-179</t>
  </si>
  <si>
    <t>End section module- (2) door pass-thru for 92-092</t>
  </si>
  <si>
    <t>92-183</t>
  </si>
  <si>
    <t>End section module-  Applicable w- Belmont X-ray</t>
  </si>
  <si>
    <t>92-184</t>
  </si>
  <si>
    <t>Glass Partition- Upper w/ Textured Niagra</t>
  </si>
  <si>
    <t>92-185</t>
  </si>
  <si>
    <t>Glass Partition- Upper with frosted signage</t>
  </si>
  <si>
    <t>92-186</t>
  </si>
  <si>
    <t>Glass Partition- mid section w/ Textured Niagra</t>
  </si>
  <si>
    <t>92-187</t>
  </si>
  <si>
    <t>Glass Partition- end privacy, for X-ray option</t>
  </si>
  <si>
    <t>92-189</t>
  </si>
  <si>
    <t>Glass partition- mid-section w/ frosted sign</t>
  </si>
  <si>
    <t>92-190</t>
  </si>
  <si>
    <t>Lead lining</t>
  </si>
  <si>
    <t>92-200</t>
  </si>
  <si>
    <r>
      <t>Wiring for</t>
    </r>
    <r>
      <rPr>
        <b/>
        <sz val="9"/>
        <rFont val="Arial"/>
        <family val="2"/>
      </rPr>
      <t xml:space="preserve"> HLPW</t>
    </r>
    <r>
      <rPr>
        <sz val="9"/>
        <rFont val="Arial"/>
        <family val="2"/>
      </rPr>
      <t xml:space="preserve">  X-Calibur light, </t>
    </r>
    <r>
      <rPr>
        <b/>
        <sz val="9"/>
        <rFont val="Arial"/>
        <family val="2"/>
      </rPr>
      <t>E-4</t>
    </r>
    <r>
      <rPr>
        <sz val="9"/>
        <rFont val="Arial"/>
        <family val="2"/>
      </rPr>
      <t>, Factory Installation Option (UL Listed)</t>
    </r>
  </si>
  <si>
    <t>92-200C</t>
  </si>
  <si>
    <r>
      <t xml:space="preserve">Wiring for AL-517N Clesta light,           </t>
    </r>
    <r>
      <rPr>
        <b/>
        <sz val="9"/>
        <rFont val="Arial"/>
        <family val="2"/>
      </rPr>
      <t>E-4</t>
    </r>
    <r>
      <rPr>
        <sz val="9"/>
        <rFont val="Arial"/>
        <family val="2"/>
      </rPr>
      <t xml:space="preserve"> Factory Installation Option (ETL Listed)</t>
    </r>
  </si>
  <si>
    <t>92-200H</t>
  </si>
  <si>
    <t>Factory Installation Option for Mounting Bel-Halo 907 to E-4 Cabinets</t>
  </si>
  <si>
    <t>92-201</t>
  </si>
  <si>
    <r>
      <t xml:space="preserve">Field installation kit for </t>
    </r>
    <r>
      <rPr>
        <b/>
        <sz val="9"/>
        <color theme="1"/>
        <rFont val="Arial"/>
        <family val="2"/>
      </rPr>
      <t>HLPW</t>
    </r>
    <r>
      <rPr>
        <sz val="9"/>
        <color theme="1"/>
        <rFont val="Arial"/>
        <family val="2"/>
      </rPr>
      <t xml:space="preserve"> X-Calibur light, </t>
    </r>
    <r>
      <rPr>
        <b/>
        <sz val="9"/>
        <color theme="1"/>
        <rFont val="Arial"/>
        <family val="2"/>
      </rPr>
      <t>E-4</t>
    </r>
    <r>
      <rPr>
        <sz val="9"/>
        <color theme="1"/>
        <rFont val="Arial"/>
        <family val="2"/>
      </rPr>
      <t>, ( No UL listing)</t>
    </r>
  </si>
  <si>
    <t>92-201C</t>
  </si>
  <si>
    <r>
      <t xml:space="preserve">Field installation kit for AL-517N Clesta light, </t>
    </r>
    <r>
      <rPr>
        <b/>
        <sz val="9"/>
        <rFont val="Arial"/>
        <family val="2"/>
      </rPr>
      <t>E-4</t>
    </r>
    <r>
      <rPr>
        <sz val="9"/>
        <rFont val="Arial"/>
        <family val="2"/>
      </rPr>
      <t>, (No ETL listing)</t>
    </r>
  </si>
  <si>
    <t>92-201H</t>
  </si>
  <si>
    <t>Field Installation Kit for Mounting Bel-Halo 907 to E-4 Cabinets           (No ETL listing)</t>
  </si>
  <si>
    <t>92-204</t>
  </si>
  <si>
    <t>Task lighting/ per light</t>
  </si>
  <si>
    <t>92-206</t>
  </si>
  <si>
    <t>GFCI Outlet Cutout in SS Back Panel</t>
  </si>
  <si>
    <t>92-240</t>
  </si>
  <si>
    <t>92-242</t>
  </si>
  <si>
    <t>Pass-thru upper storage</t>
  </si>
  <si>
    <t>92-243</t>
  </si>
  <si>
    <t>Dual upper storage  w/ flip &amp; vertical lift doors</t>
  </si>
  <si>
    <t>92-245</t>
  </si>
  <si>
    <t>92-247</t>
  </si>
  <si>
    <t>Dual upper storage compartment with flip and straight up doors</t>
  </si>
  <si>
    <t>92-271</t>
  </si>
  <si>
    <t>Additional tempered glass shelf (1/4"x14"x19-13/16")</t>
  </si>
  <si>
    <t>92-273</t>
  </si>
  <si>
    <t>Additional tempered glass shelf 1/4"x 15-1/2"x 15-1/2"</t>
  </si>
  <si>
    <t>92-274</t>
  </si>
  <si>
    <t>Additional tempered glass shelf 1/4"x 9-9/16"x 18-1/2"</t>
  </si>
  <si>
    <t>92-275</t>
  </si>
  <si>
    <t>Additional tempered glass shelf 1/4" x 9-3/4" x 20-5/8"</t>
  </si>
  <si>
    <t>92-276</t>
  </si>
  <si>
    <t>Additional tempered glass shelf 1/4" x 9-3/4" x 16-5/16" (applicable on 92-243)</t>
  </si>
  <si>
    <t>92-277</t>
  </si>
  <si>
    <t>Additional tempered glass shelf 1/4" x 9-3/4" x 21-1/2"</t>
  </si>
  <si>
    <t>92-278</t>
  </si>
  <si>
    <t>92-279</t>
  </si>
  <si>
    <t>Additional tempered glass shelf 1/4" x 12-1/16" x 14"</t>
  </si>
  <si>
    <t>92-282</t>
  </si>
  <si>
    <t>92-283</t>
  </si>
  <si>
    <t>Additional shelf for lower storage 1/2" x 10-1/2" x 16-3/16"</t>
  </si>
  <si>
    <t>92-284</t>
  </si>
  <si>
    <r>
      <t xml:space="preserve">Bumper rails for </t>
    </r>
    <r>
      <rPr>
        <b/>
        <sz val="9"/>
        <rFont val="Arial"/>
        <family val="2"/>
      </rPr>
      <t xml:space="preserve">E-9 </t>
    </r>
    <r>
      <rPr>
        <sz val="9"/>
        <rFont val="Arial"/>
        <family val="2"/>
      </rPr>
      <t>Cart</t>
    </r>
  </si>
  <si>
    <t>92-350</t>
  </si>
  <si>
    <t>Cambria™ Quartz Counter Top ($/LF)</t>
  </si>
  <si>
    <t>92-351</t>
  </si>
  <si>
    <t xml:space="preserve"> LG Hausys HI-MACS® Solid Surface ($/LF)</t>
  </si>
  <si>
    <t>92-352</t>
  </si>
  <si>
    <t>Standard HD Laminated Counter Top ($/LF)</t>
  </si>
  <si>
    <t>92-354</t>
  </si>
  <si>
    <t>HPL Counter Top ($/LF)</t>
  </si>
  <si>
    <t>92-399</t>
  </si>
  <si>
    <t>92-401</t>
  </si>
  <si>
    <t>92-410</t>
  </si>
  <si>
    <t>E-1 Upgrade from HD Laminate to LG Hausys HI-MACS® Solid Surface (Select Sink)</t>
  </si>
  <si>
    <t>92-411</t>
  </si>
  <si>
    <t xml:space="preserve">E-2L Upgrade from HD Laminate to LG Hausys HI-MACS® Solid Surface </t>
  </si>
  <si>
    <t>92-412</t>
  </si>
  <si>
    <t>E-3 Upgrade from HD Laminate to LG Hausys HI-MACS® Solid Surface (Select Sink)</t>
  </si>
  <si>
    <t>92-412C</t>
  </si>
  <si>
    <t>E-3C Upgrade from HD Laminate to LG Hausys HI-MACS® Solid Surfaces (Select Sink)</t>
  </si>
  <si>
    <t>92-413</t>
  </si>
  <si>
    <t>E-4 Upgrade from HD Laminate to LG Hausys HI-MACS® Solid Surface (Select Sink)</t>
  </si>
  <si>
    <t>92-414</t>
  </si>
  <si>
    <t>E-4 w/ bifold, Upgrade from HD laminate to  LG Hausys HI-MACS® Solid Surface (Select Sink)</t>
  </si>
  <si>
    <t>92-416</t>
  </si>
  <si>
    <t>E-5L Upgrade from HD laminate to  LG Hausys HI-MACS® Solid Surface Tops and Sliding Surface</t>
  </si>
  <si>
    <t>92-417</t>
  </si>
  <si>
    <t>E-5 Upgrade from HD laminate to  LG Hausys HI-MACS® Solid Surface Top and Sliding Surface</t>
  </si>
  <si>
    <t>92-418</t>
  </si>
  <si>
    <t>E-6 Upgrade from HD laminate to  LG Hausys HI-MACS® Solid Surface Top and Sliding Surface</t>
  </si>
  <si>
    <t>92-419</t>
  </si>
  <si>
    <t>E-6L Upgrade from HD laminate to  LG Hausys HI-MACS® Solid Surface Tops and Sliding Surface</t>
  </si>
  <si>
    <r>
      <t>92-420</t>
    </r>
    <r>
      <rPr>
        <sz val="9"/>
        <color rgb="FF00B050"/>
        <rFont val="Arial"/>
        <family val="2"/>
      </rPr>
      <t>-2</t>
    </r>
  </si>
  <si>
    <t>92-429</t>
  </si>
  <si>
    <r>
      <t>Upgrade from HD Laminate to Cambria</t>
    </r>
    <r>
      <rPr>
        <sz val="9"/>
        <rFont val="Calibri"/>
        <family val="2"/>
      </rPr>
      <t>™</t>
    </r>
    <r>
      <rPr>
        <sz val="9"/>
        <rFont val="Arial"/>
        <family val="2"/>
      </rPr>
      <t xml:space="preserve"> Quartz worksurface</t>
    </r>
  </si>
  <si>
    <t>92-431</t>
  </si>
  <si>
    <r>
      <t>E-8 Upgrade from HD Laminate to Cambria</t>
    </r>
    <r>
      <rPr>
        <sz val="9"/>
        <rFont val="Calibri"/>
        <family val="2"/>
      </rPr>
      <t>™</t>
    </r>
    <r>
      <rPr>
        <sz val="9"/>
        <rFont val="Arial"/>
        <family val="2"/>
      </rPr>
      <t xml:space="preserve"> Quartz work surface (Select Sink)</t>
    </r>
  </si>
  <si>
    <t>92-440</t>
  </si>
  <si>
    <r>
      <t>E-1 Upgrade from HD Laminate to Cambria</t>
    </r>
    <r>
      <rPr>
        <sz val="9"/>
        <rFont val="Calibri"/>
        <family val="2"/>
      </rPr>
      <t>™</t>
    </r>
    <r>
      <rPr>
        <sz val="9"/>
        <rFont val="Arial"/>
        <family val="2"/>
      </rPr>
      <t xml:space="preserve"> Quartz work surface (Select Sink)</t>
    </r>
  </si>
  <si>
    <t>92-441</t>
  </si>
  <si>
    <t xml:space="preserve">E-2L Upgrade from HD Laminate to Cambria™ Work Surface </t>
  </si>
  <si>
    <t>92-442</t>
  </si>
  <si>
    <r>
      <t>E-3 Upgrade from HD Laminate to Cambria</t>
    </r>
    <r>
      <rPr>
        <sz val="9"/>
        <rFont val="Calibri"/>
        <family val="2"/>
      </rPr>
      <t>™</t>
    </r>
    <r>
      <rPr>
        <sz val="9"/>
        <rFont val="Arial"/>
        <family val="2"/>
      </rPr>
      <t xml:space="preserve"> Quartz work surface (Select Sink)</t>
    </r>
  </si>
  <si>
    <t>92-442C</t>
  </si>
  <si>
    <r>
      <t>E-3C Upgrade from HD Laminate to Cambria</t>
    </r>
    <r>
      <rPr>
        <sz val="9"/>
        <rFont val="Calibri"/>
        <family val="2"/>
      </rPr>
      <t>™</t>
    </r>
    <r>
      <rPr>
        <sz val="9"/>
        <rFont val="Arial"/>
        <family val="2"/>
      </rPr>
      <t xml:space="preserve"> Quartz work surfaces (Select Sink)</t>
    </r>
  </si>
  <si>
    <t>92-443</t>
  </si>
  <si>
    <r>
      <t>E-4 Upgrade from HD Laminate to Cambria</t>
    </r>
    <r>
      <rPr>
        <sz val="9"/>
        <rFont val="Calibri"/>
        <family val="2"/>
      </rPr>
      <t>™</t>
    </r>
    <r>
      <rPr>
        <sz val="9"/>
        <rFont val="Arial"/>
        <family val="2"/>
      </rPr>
      <t xml:space="preserve"> Quartz work surface (Select Sink)</t>
    </r>
  </si>
  <si>
    <t>92-444</t>
  </si>
  <si>
    <r>
      <t>E-4 w/ bi-fold, Upgrade from HD Laminate to Cambria</t>
    </r>
    <r>
      <rPr>
        <sz val="9"/>
        <rFont val="Calibri"/>
        <family val="2"/>
      </rPr>
      <t>™</t>
    </r>
    <r>
      <rPr>
        <sz val="9"/>
        <rFont val="Arial"/>
        <family val="2"/>
      </rPr>
      <t xml:space="preserve"> Quartz work surface (Select Sink)</t>
    </r>
  </si>
  <si>
    <t>92-446</t>
  </si>
  <si>
    <r>
      <t>E-5L Upgrade from HD Laminate to Cambria</t>
    </r>
    <r>
      <rPr>
        <sz val="9"/>
        <rFont val="Calibri"/>
        <family val="2"/>
      </rPr>
      <t>™</t>
    </r>
    <r>
      <rPr>
        <sz val="9"/>
        <rFont val="Arial"/>
        <family val="2"/>
      </rPr>
      <t xml:space="preserve"> Quartz work surfaces  and Sliding Top</t>
    </r>
  </si>
  <si>
    <t>92-447</t>
  </si>
  <si>
    <r>
      <t>E-5 Upgrade from HD Laminate to Cambria</t>
    </r>
    <r>
      <rPr>
        <sz val="9"/>
        <rFont val="Calibri"/>
        <family val="2"/>
      </rPr>
      <t>™</t>
    </r>
    <r>
      <rPr>
        <sz val="9"/>
        <rFont val="Arial"/>
        <family val="2"/>
      </rPr>
      <t xml:space="preserve"> Quartz work surface  and Sliding Top</t>
    </r>
  </si>
  <si>
    <t>92-448</t>
  </si>
  <si>
    <r>
      <t>E-6 Upgrade from HD Laminate to Cambria</t>
    </r>
    <r>
      <rPr>
        <sz val="9"/>
        <rFont val="Calibri"/>
        <family val="2"/>
      </rPr>
      <t>™</t>
    </r>
    <r>
      <rPr>
        <sz val="9"/>
        <rFont val="Arial"/>
        <family val="2"/>
      </rPr>
      <t xml:space="preserve"> Quartz work surface  and Sliding Top</t>
    </r>
  </si>
  <si>
    <t>92-449</t>
  </si>
  <si>
    <r>
      <t>E-6L Upgrade from HD Laminate to Cambria</t>
    </r>
    <r>
      <rPr>
        <sz val="9"/>
        <rFont val="Calibri"/>
        <family val="2"/>
      </rPr>
      <t>™</t>
    </r>
    <r>
      <rPr>
        <sz val="9"/>
        <rFont val="Arial"/>
        <family val="2"/>
      </rPr>
      <t xml:space="preserve"> Quartz work surfaces  and Sliding Top</t>
    </r>
  </si>
  <si>
    <r>
      <t>92-450</t>
    </r>
    <r>
      <rPr>
        <sz val="9"/>
        <color rgb="FF00B050"/>
        <rFont val="Arial"/>
        <family val="2"/>
      </rPr>
      <t>-2</t>
    </r>
  </si>
  <si>
    <t>92-451</t>
  </si>
  <si>
    <r>
      <t>E-7 Upgrade from HD Laminate to Cambria</t>
    </r>
    <r>
      <rPr>
        <sz val="9"/>
        <rFont val="Calibri"/>
        <family val="2"/>
      </rPr>
      <t>™</t>
    </r>
    <r>
      <rPr>
        <sz val="9"/>
        <rFont val="Arial"/>
        <family val="2"/>
      </rPr>
      <t xml:space="preserve"> Quartz work surface  and Sliding Top</t>
    </r>
  </si>
  <si>
    <t>92-452</t>
  </si>
  <si>
    <r>
      <t>E-7-DS Upgrade from HD Laminate to Cambria</t>
    </r>
    <r>
      <rPr>
        <sz val="9"/>
        <rFont val="Calibri"/>
        <family val="2"/>
      </rPr>
      <t>™</t>
    </r>
    <r>
      <rPr>
        <sz val="9"/>
        <rFont val="Arial"/>
        <family val="2"/>
      </rPr>
      <t xml:space="preserve"> Quartz work surface  and Sliding Top (Select Sinks)</t>
    </r>
  </si>
  <si>
    <t>92-453</t>
  </si>
  <si>
    <r>
      <t>E-7-LS/RS Upgrade from HD Laminate to Cambria</t>
    </r>
    <r>
      <rPr>
        <sz val="9"/>
        <rFont val="Calibri"/>
        <family val="2"/>
      </rPr>
      <t>™</t>
    </r>
    <r>
      <rPr>
        <sz val="9"/>
        <rFont val="Arial"/>
        <family val="2"/>
      </rPr>
      <t xml:space="preserve"> Quartz work surface  and Sliding Top (Select Sinks)</t>
    </r>
  </si>
  <si>
    <t>92-461</t>
  </si>
  <si>
    <t>92-466</t>
  </si>
  <si>
    <t>92-467</t>
  </si>
  <si>
    <r>
      <t>E-3CM Upgrade from HD Laminate to Cambria</t>
    </r>
    <r>
      <rPr>
        <sz val="9"/>
        <rFont val="Calibri"/>
        <family val="2"/>
      </rPr>
      <t>™</t>
    </r>
    <r>
      <rPr>
        <sz val="9"/>
        <rFont val="Arial"/>
        <family val="2"/>
      </rPr>
      <t xml:space="preserve"> Quartz work surface (Select Sink)</t>
    </r>
  </si>
  <si>
    <t>92-467C</t>
  </si>
  <si>
    <r>
      <t>E-3CMC Upgrade from HD Laminate to Cambria</t>
    </r>
    <r>
      <rPr>
        <sz val="9"/>
        <rFont val="Calibri"/>
        <family val="2"/>
      </rPr>
      <t>™</t>
    </r>
    <r>
      <rPr>
        <sz val="9"/>
        <rFont val="Arial"/>
        <family val="2"/>
      </rPr>
      <t xml:space="preserve"> Quartz work surfaces (Select Sink)</t>
    </r>
  </si>
  <si>
    <t>92-473</t>
  </si>
  <si>
    <t>Stainless Steel undermount sink with Cambria™ Quartz countertop</t>
  </si>
  <si>
    <t>92-480</t>
  </si>
  <si>
    <t xml:space="preserve">Stainless Steel Manual Faucet/soap dispenser </t>
  </si>
  <si>
    <t>92-482</t>
  </si>
  <si>
    <t>E-7 Upgrade from HD laminate to  LG Hausys HI-MACS® Solid Surface Top and Sliding Surface</t>
  </si>
  <si>
    <t>92-483</t>
  </si>
  <si>
    <t>E-7-DS Upgrade from HD laminate to  LG Hausys HI-MACS® Solid Surface Tops and Sliding Surface (Select Sinks)</t>
  </si>
  <si>
    <t>92-484</t>
  </si>
  <si>
    <t>E-7-LS/RS Upgrade from HD laminate to  LG Hausys HI-MACS® Solid Surface Tops and Sliding Surface (Select Sink)</t>
  </si>
  <si>
    <t>92-487</t>
  </si>
  <si>
    <t>E-8 Upgrade from HD laminate to  LG Hausys HI-MACS® Solid Surface Top (Select Sink)</t>
  </si>
  <si>
    <t>92-497</t>
  </si>
  <si>
    <t>E-3CM Upgrade from HD Laminate to LG Hausys HI-MACS® Solid Surface (Select Sink)</t>
  </si>
  <si>
    <t>92-497C</t>
  </si>
  <si>
    <t>E-3CMC Upgrade from HD Laminate to LG Hausys HI-MACS® Solid Surfaces (Select Sink)</t>
  </si>
  <si>
    <t>92-541</t>
  </si>
  <si>
    <t>92-542</t>
  </si>
  <si>
    <t>92-543</t>
  </si>
  <si>
    <t>5", 4", 4" and 9" drawers</t>
  </si>
  <si>
    <t>92-544</t>
  </si>
  <si>
    <t>5", 7" equip pull-out and 9" equip pull-out drawers</t>
  </si>
  <si>
    <t>92-545</t>
  </si>
  <si>
    <t>5", 7" equip pull-out, 4" and 6" drawers</t>
  </si>
  <si>
    <t>92-546</t>
  </si>
  <si>
    <t>92-547</t>
  </si>
  <si>
    <t>92-556</t>
  </si>
  <si>
    <t>(2) 6" drawers for upper storage compartment</t>
  </si>
  <si>
    <t>92-601</t>
  </si>
  <si>
    <t xml:space="preserve">Tapmaster™ Euro-style foot activation with manual faucet </t>
  </si>
  <si>
    <t>92-605</t>
  </si>
  <si>
    <t xml:space="preserve">Manual faucet </t>
  </si>
  <si>
    <t>92-606</t>
  </si>
  <si>
    <t>Tapmaster™ cabinet door activation with manual faucet</t>
  </si>
  <si>
    <t>92-608</t>
  </si>
  <si>
    <t>Tapmaster™ Euro-style foot activation with manual faucet (E-7-DS only)</t>
  </si>
  <si>
    <t>92-610</t>
  </si>
  <si>
    <t>Manual faucet (E-7-DS only)</t>
  </si>
  <si>
    <t>92-620</t>
  </si>
  <si>
    <r>
      <t>Undermount Solid Bowl (Solid Surface or Cambria</t>
    </r>
    <r>
      <rPr>
        <sz val="9"/>
        <rFont val="Calibri"/>
        <family val="2"/>
      </rPr>
      <t>™</t>
    </r>
    <r>
      <rPr>
        <sz val="9"/>
        <rFont val="Arial"/>
        <family val="2"/>
      </rPr>
      <t>)</t>
    </r>
  </si>
  <si>
    <t>92-620-2</t>
  </si>
  <si>
    <r>
      <t>(2) Undermount Solid Bowls (Solid Surface or Cambria</t>
    </r>
    <r>
      <rPr>
        <sz val="9"/>
        <rFont val="Calibri"/>
        <family val="2"/>
      </rPr>
      <t>™</t>
    </r>
    <r>
      <rPr>
        <sz val="9"/>
        <rFont val="Arial"/>
        <family val="2"/>
      </rPr>
      <t>)</t>
    </r>
  </si>
  <si>
    <t>92-621</t>
  </si>
  <si>
    <r>
      <t>Undermount Stainless Steel Sink (Solid Surface or Cambria</t>
    </r>
    <r>
      <rPr>
        <sz val="9"/>
        <rFont val="Calibri"/>
        <family val="2"/>
      </rPr>
      <t>™</t>
    </r>
    <r>
      <rPr>
        <sz val="9"/>
        <rFont val="Arial"/>
        <family val="2"/>
      </rPr>
      <t>)</t>
    </r>
  </si>
  <si>
    <t>92-621-2</t>
  </si>
  <si>
    <r>
      <t>(2) Undermount Stainless Steel Sinks (Solid Surface or Cambria</t>
    </r>
    <r>
      <rPr>
        <sz val="9"/>
        <rFont val="Calibri"/>
        <family val="2"/>
      </rPr>
      <t>™</t>
    </r>
    <r>
      <rPr>
        <sz val="9"/>
        <rFont val="Arial"/>
        <family val="2"/>
      </rPr>
      <t>)</t>
    </r>
  </si>
  <si>
    <t>92-622</t>
  </si>
  <si>
    <r>
      <t>Glass Bowl (Laminate, Solid Surface or Cambria</t>
    </r>
    <r>
      <rPr>
        <sz val="9"/>
        <rFont val="Calibri"/>
        <family val="2"/>
      </rPr>
      <t>™</t>
    </r>
    <r>
      <rPr>
        <sz val="9"/>
        <rFont val="Arial"/>
        <family val="2"/>
      </rPr>
      <t>)</t>
    </r>
  </si>
  <si>
    <t>92-622-2</t>
  </si>
  <si>
    <r>
      <t>(2) Glass Bowls (Laminate, Solid Surface or Cambria</t>
    </r>
    <r>
      <rPr>
        <sz val="9"/>
        <rFont val="Calibri"/>
        <family val="2"/>
      </rPr>
      <t>™</t>
    </r>
    <r>
      <rPr>
        <sz val="9"/>
        <rFont val="Arial"/>
        <family val="2"/>
      </rPr>
      <t>)</t>
    </r>
  </si>
  <si>
    <t>92-668</t>
  </si>
  <si>
    <t>Glass window on laminated upper storage door (1)</t>
  </si>
  <si>
    <t>92-701</t>
  </si>
  <si>
    <t>Full back panel (applicable w/ E-1 &amp;E-2)</t>
  </si>
  <si>
    <t>92-702</t>
  </si>
  <si>
    <t>Short back panel (applicable w/ E-1 &amp; E-2L)</t>
  </si>
  <si>
    <t>92-703</t>
  </si>
  <si>
    <t>92-704</t>
  </si>
  <si>
    <t>Finished End Panel, 26"W x 84"H</t>
  </si>
  <si>
    <t>92-707</t>
  </si>
  <si>
    <t>Full back panel (applicable w/ E-3 &amp;E-2)</t>
  </si>
  <si>
    <t>92-708</t>
  </si>
  <si>
    <t>Short back panel (applicable w/ E-3 &amp; E-2L)</t>
  </si>
  <si>
    <t>92-709</t>
  </si>
  <si>
    <t>Stainless Steel front base toe kick</t>
  </si>
  <si>
    <t>92-805</t>
  </si>
  <si>
    <t>Additional Glove/Tissue Dispenser on door</t>
  </si>
  <si>
    <t>92-806</t>
  </si>
  <si>
    <t>92-807</t>
  </si>
  <si>
    <t>Knee activated Trash Drawer</t>
  </si>
  <si>
    <t>92-810</t>
  </si>
  <si>
    <t>Air Operated Kick-out Trash Drawer/ Auto Open Instrument Storage</t>
  </si>
  <si>
    <t>92-710</t>
  </si>
  <si>
    <t>22 GA. Stainless Steel Back Splash</t>
  </si>
  <si>
    <t>92-935</t>
  </si>
  <si>
    <t>92-936</t>
  </si>
  <si>
    <t>C.P.U. pull out shelf</t>
  </si>
  <si>
    <t>92-937</t>
  </si>
  <si>
    <t>USB Power ventilating system</t>
  </si>
  <si>
    <t>92-938</t>
  </si>
  <si>
    <t>Vent grill for CPU</t>
  </si>
  <si>
    <t>92-939</t>
  </si>
  <si>
    <t>92-942</t>
  </si>
  <si>
    <t>Vent grill for CPU- upper storage</t>
  </si>
  <si>
    <t>92-949</t>
  </si>
  <si>
    <t>92-993</t>
  </si>
  <si>
    <t>Substitute E-Series Pulls</t>
  </si>
  <si>
    <t>B1534-24</t>
  </si>
  <si>
    <t>Base Cabinet, 15"W x 34"H x 24"D</t>
  </si>
  <si>
    <t>B1834-24</t>
  </si>
  <si>
    <t>Base Cabinet, 18"W x 34"H x 24"D</t>
  </si>
  <si>
    <t>B2134-24</t>
  </si>
  <si>
    <t>Base Cabinet, 21"W x 34"H x 24"D</t>
  </si>
  <si>
    <t>B1D1534-24</t>
  </si>
  <si>
    <t>Base Cabinet w/ 1 Drawer, 15"W x 34"H x 24"D</t>
  </si>
  <si>
    <t>B1D1834-24</t>
  </si>
  <si>
    <t>Base Cabinet w/ 1 Drawer, 18"W x 34"H x 24"D</t>
  </si>
  <si>
    <t>B1D2134-24</t>
  </si>
  <si>
    <t>Base Cabinet w/ 1 Drawer, 21"W x 34"H x 24"D</t>
  </si>
  <si>
    <t>B1D2334-24</t>
  </si>
  <si>
    <t>Base Cabinet w/ 1 Drawer, 23"W x 34"H x 24"D</t>
  </si>
  <si>
    <t>B1D2434-24</t>
  </si>
  <si>
    <t>Base Cabinet w/ 1 Drawer, 24"W x 34"H x 24"D</t>
  </si>
  <si>
    <t>B1D2734-24</t>
  </si>
  <si>
    <t>Base Cabinet w/ 1 Drawer, 27"W x 34"H x 24"D</t>
  </si>
  <si>
    <t>B1D3034-24</t>
  </si>
  <si>
    <t>Base Cabinet w/ 1 Drawer, 30"W x 34"H x 24"D</t>
  </si>
  <si>
    <t>B1D3334-24</t>
  </si>
  <si>
    <t>Base Cabinet w/ 1 Drawer, 33"W x 34"H x 24"D</t>
  </si>
  <si>
    <t>B1D3634-24</t>
  </si>
  <si>
    <t>Base Cabinet w/ 1 Drawer, 36"W x 34"H x 24"D</t>
  </si>
  <si>
    <t>B2334-24</t>
  </si>
  <si>
    <t>Base Cabinet, 23"W x 34"H x 24"D</t>
  </si>
  <si>
    <t>B2434-24</t>
  </si>
  <si>
    <t>Base Cabinet, 24"W x 34"H x 24"D</t>
  </si>
  <si>
    <t>B2734-24</t>
  </si>
  <si>
    <t>Base Cabinet, 27"W x 34"H x 24"D</t>
  </si>
  <si>
    <t>B2D1534-24</t>
  </si>
  <si>
    <t>Base Cabinet w/ 2 Drawers, 15"W x 34"H x 24"D</t>
  </si>
  <si>
    <t>B2D1834-24</t>
  </si>
  <si>
    <t>Base Cabinet w/ 2 Drawers, 18"W x 34"H x 24"D</t>
  </si>
  <si>
    <t>B2D2134-24</t>
  </si>
  <si>
    <t>Base Cabinet w/ 2 Drawers, 21"W x 34"H x 24"D</t>
  </si>
  <si>
    <t>B2D2334-24</t>
  </si>
  <si>
    <t>Base Cabinet w/ 2 Drawers, 23"W x 34"H x 24"D</t>
  </si>
  <si>
    <t>B2D2434-24</t>
  </si>
  <si>
    <t>Base Cabinet w/ 2 Drawers, 24"W x 34"H x 24"D</t>
  </si>
  <si>
    <t>B2D2734-24</t>
  </si>
  <si>
    <t>Base Cabinet w/ 2 Drawers, 27"W x 34"H x 24"D</t>
  </si>
  <si>
    <t>B2D3034-24</t>
  </si>
  <si>
    <t>Base Cabinet w/ 2 Drawers, 30"W x 34"H x 24"D</t>
  </si>
  <si>
    <t>B2D3334-24</t>
  </si>
  <si>
    <t>Base Cabinet w/ 2 Drawers, 33"W x 34"H x 24"D</t>
  </si>
  <si>
    <t>B2D3634-24</t>
  </si>
  <si>
    <t>Base Cabinet w/ 2 Drawers, 36"W x 34"H x 24"D</t>
  </si>
  <si>
    <t>B3034-24</t>
  </si>
  <si>
    <t>Base Cabinet,30"W x 34"H x 24"D</t>
  </si>
  <si>
    <t>B3334-24</t>
  </si>
  <si>
    <t>Base Cabinet, 33"W x 34"H x 24"D</t>
  </si>
  <si>
    <t>B3634-24</t>
  </si>
  <si>
    <t>Base Cabinet, 36"W x 34"H x 24"D</t>
  </si>
  <si>
    <t>B3D1534-24</t>
  </si>
  <si>
    <t>Base Cabinet w/ 3 Drawers, 15"W x 34"H x 24"D</t>
  </si>
  <si>
    <t>B3D1834-24</t>
  </si>
  <si>
    <t>Base Cabinet w/ 3 Drawers, 18"W x 34"H x 24"D</t>
  </si>
  <si>
    <t>B3D2134-24</t>
  </si>
  <si>
    <t>Base Cabinet w/ 3 Drawers, 21"W x 34"H x 24"D</t>
  </si>
  <si>
    <t>B3D2434-24</t>
  </si>
  <si>
    <t>Base Cabinet w/ 3 Drawers, 24"W x 34"H x 24"D</t>
  </si>
  <si>
    <t>B3D2734-24</t>
  </si>
  <si>
    <t>Base Cabinet w/ 3 Drawers, 27"W x 34"H x 24"D</t>
  </si>
  <si>
    <t>B3D3034-24</t>
  </si>
  <si>
    <t>Base Cabinet w/ 3 Drawers, 30"W x 34"H x 24"D</t>
  </si>
  <si>
    <t>B3D3334-24</t>
  </si>
  <si>
    <t>Base Cabinet w/ 3 Drawers, 33"W x 34"H x 24"D</t>
  </si>
  <si>
    <t>B3D3634-24</t>
  </si>
  <si>
    <t>Base Cabinet w/ 3 Drawers, 36"W x 34"H x 24"D</t>
  </si>
  <si>
    <t>B4D1534-24</t>
  </si>
  <si>
    <t>Base Cabinet w/ 4 Drawers, 15"W x 34"H x 24"D</t>
  </si>
  <si>
    <t>B4D1834-24</t>
  </si>
  <si>
    <t>Base Cabinet w/ 4 Drawers, 18"W x 34"H x 24"D</t>
  </si>
  <si>
    <t>B4D2134-24</t>
  </si>
  <si>
    <t>Base Cabinet w/ 4 Drawers, 21"W x 34"H x 24"D</t>
  </si>
  <si>
    <t>B4D2434-24</t>
  </si>
  <si>
    <t>Base Cabinet w/ 4 Drawers, 24"W x 34"H x 24"D</t>
  </si>
  <si>
    <t>B4D2734-24</t>
  </si>
  <si>
    <t>Base Cabinet w/ 4 Drawers, 27"W x 34"H x 24"D</t>
  </si>
  <si>
    <t>B4D3034-24</t>
  </si>
  <si>
    <t>Base Cabinet w/ 4 Drawers, 30"W x 34"H x 24"D</t>
  </si>
  <si>
    <t>B4D3334-24</t>
  </si>
  <si>
    <t>Base Cabinet w/ 4 Drawers, 33"W x 34"H x 24"D</t>
  </si>
  <si>
    <t>B4D3634-24</t>
  </si>
  <si>
    <t>Base Cabinet w/ 4 Drawers, 36"W x 34"H x 24"D</t>
  </si>
  <si>
    <t>B5D1534-24</t>
  </si>
  <si>
    <t>Base Cabinet w/ 5 Drawers, 15"W x 34"H x 24"D</t>
  </si>
  <si>
    <t>B5D1834-24</t>
  </si>
  <si>
    <t>Base Cabinet w/ 5 Drawers, 18"W x 34"H x 24"D</t>
  </si>
  <si>
    <t>B5D2134-24</t>
  </si>
  <si>
    <t>Base Cabinet w/ 5 Drawers, 21"W x 34"H x 24"D</t>
  </si>
  <si>
    <t>B5D2434-24</t>
  </si>
  <si>
    <t>Base Cabinet w/ 5 Drawers, 24"W x 34"H x 24"D</t>
  </si>
  <si>
    <t>B5D2734-24</t>
  </si>
  <si>
    <t>Base Cabinet w/ 5 Drawers, 27"W x 34"H x 24"D</t>
  </si>
  <si>
    <t>B5D3034-24</t>
  </si>
  <si>
    <t>Base Cabinet w/ 5 Drawers, 30"W x 34"H x 24"D</t>
  </si>
  <si>
    <t>B5D3334-24</t>
  </si>
  <si>
    <t>Base Cabinet w/ 5 Drawers, 33"W x 34"H x 24"D</t>
  </si>
  <si>
    <t>B5D3634-24</t>
  </si>
  <si>
    <t>Base Cabinet w/ 5 Drawers, 36"W x 34"H x 24"D</t>
  </si>
  <si>
    <t>BCB3934-24L</t>
  </si>
  <si>
    <t>Blind Corner Base, 39"W x 34"H x 24"D, Left Side Door Hinge</t>
  </si>
  <si>
    <t>BCB3934-24R</t>
  </si>
  <si>
    <t>Blind Corner Base, 39"W x 34"H x 24"D, Right Side Door Hinge</t>
  </si>
  <si>
    <t>BCW3024L</t>
  </si>
  <si>
    <t>Blind Corner Wall Cabinet, 30"W x 24"H, Left Side Door Hinge</t>
  </si>
  <si>
    <t>BCW3024R</t>
  </si>
  <si>
    <t>Blind Corner Wall Cabinet, 30"W x 24"H, Right Side Door Hinge</t>
  </si>
  <si>
    <t>BCW3030L</t>
  </si>
  <si>
    <t>Blind Corner Wall Cabinet, 30"W x 30"H, Left Side Door Hinge</t>
  </si>
  <si>
    <t>BCW3030R</t>
  </si>
  <si>
    <t>Blind Corner Wall Cabinet, 30"W x 30"H, Right Side Door Hinge</t>
  </si>
  <si>
    <t>BCW3324L</t>
  </si>
  <si>
    <t>Blind Corner Wall Cabinet, 33"W x 24"H, Left Side Door Hinge</t>
  </si>
  <si>
    <t>BCW3324R</t>
  </si>
  <si>
    <t>Blind Corner Wall Cabinet, 33"W x 24"H, Right Side Door Hinge</t>
  </si>
  <si>
    <t>BCW3330L</t>
  </si>
  <si>
    <t>Blind Corner Wall Cabinet, 33"W x 30"H, Left Side Door Hinge</t>
  </si>
  <si>
    <t>BCW3330R</t>
  </si>
  <si>
    <t>Blind Corner Wall Cabinet, 33"W x 30"H, Right Side Door Hinge</t>
  </si>
  <si>
    <t>BCW3624L</t>
  </si>
  <si>
    <t>Blind Corner Wall Cabinet, 36"W x 24"H, Left Side Door Hinge</t>
  </si>
  <si>
    <t>BCW3624R</t>
  </si>
  <si>
    <t>Blind Corner Wall Cabinet, 36"W x 24"H, Right Side Door Hinge</t>
  </si>
  <si>
    <t>BCW3630L</t>
  </si>
  <si>
    <t>Blind Corner Wall Cabinet, 36"W x 30"H, Left Side Door Hinge</t>
  </si>
  <si>
    <t>BCW3630R</t>
  </si>
  <si>
    <t>Blind Corner Wall Cabinet, 36"W x 30"H, Right Side Door Hinge</t>
  </si>
  <si>
    <t>GS-1</t>
  </si>
  <si>
    <t>Wall Hung 30" Glass Shelf</t>
  </si>
  <si>
    <t>GS-3</t>
  </si>
  <si>
    <t>Wall Hung 10" Glass (3) Shelf Unit</t>
  </si>
  <si>
    <t>SB2434-24</t>
  </si>
  <si>
    <t>Sink Base, 24"W x 34"H x 24"D</t>
  </si>
  <si>
    <t>SB2634-24</t>
  </si>
  <si>
    <t>Sink Base, 26"W x 34"H x 24"D</t>
  </si>
  <si>
    <t>SB2834-24</t>
  </si>
  <si>
    <t>Sink Base, 28"W x 34"H x 24"D</t>
  </si>
  <si>
    <t>SB3034-24</t>
  </si>
  <si>
    <t>Sink Base, 30"W x 34"H x 24"D</t>
  </si>
  <si>
    <t>ST2684-26</t>
  </si>
  <si>
    <t>Sterilization Cabinet, 26"W x 83"H x 26"D</t>
  </si>
  <si>
    <t>TB1334-24</t>
  </si>
  <si>
    <t>Trash Base Cabinet, 13"W x 34"H x 24"D</t>
  </si>
  <si>
    <t>TB1534-24</t>
  </si>
  <si>
    <t>Trash Base Cabinet, 15"W x 34"H x 24"D</t>
  </si>
  <si>
    <t>TB1834-24</t>
  </si>
  <si>
    <t>Trash Base Cabinet, 18"W x 34"H x 24"D</t>
  </si>
  <si>
    <t>TB2434-24</t>
  </si>
  <si>
    <t>Trash Base Cabinet, 24"W x 34"H x 24"D</t>
  </si>
  <si>
    <t>TB2734-24</t>
  </si>
  <si>
    <t>Trash Base Cabinet, 27"W x 34"H x 24"D</t>
  </si>
  <si>
    <t>TB3034-24</t>
  </si>
  <si>
    <t>Trash Base Cabinet, 30"W x 34"H x 24"D</t>
  </si>
  <si>
    <t>TBD1234-24</t>
  </si>
  <si>
    <t>Trash Base Cabinet w/ Drawer, 12"W x 34"H x 24"D</t>
  </si>
  <si>
    <t>TBD1334-24</t>
  </si>
  <si>
    <t>Trash Base Cabinet w/ Drawer, 13"W x 34"H x 24"D</t>
  </si>
  <si>
    <t>TBD1534-24</t>
  </si>
  <si>
    <t>Trash Base Cabinet w/ Drawer, 15"W x 34"H x 24"D</t>
  </si>
  <si>
    <t>TBD1834-24</t>
  </si>
  <si>
    <t>Trash Base Cabinet w/ Drawer, 18"W x 34"H x 24"D</t>
  </si>
  <si>
    <t>TT1684-24</t>
  </si>
  <si>
    <t>Tall Tower Storage Cabinet, 17"W x 84"H x 24"D</t>
  </si>
  <si>
    <t>USB1624-24</t>
  </si>
  <si>
    <t>Ultrasonic Base Cabinet, 16"W x 24"H x 24"D</t>
  </si>
  <si>
    <t>USB1634-24</t>
  </si>
  <si>
    <t>Ultrasonic Base Cabinet, 16"W x 34"H x 24"D</t>
  </si>
  <si>
    <t>USB1824-24</t>
  </si>
  <si>
    <t>Ultrasonic Base Cabinet, 18"W x 24"H x 24"D</t>
  </si>
  <si>
    <t>USB1834-24</t>
  </si>
  <si>
    <t>Ultrasonic Base Cabinet, 18"W x 34"H x 24"D</t>
  </si>
  <si>
    <t>USB1934-24</t>
  </si>
  <si>
    <t>Ultrasonic Base Cabinet, 19"W x 34"H x 24"D</t>
  </si>
  <si>
    <t>USB2024-24</t>
  </si>
  <si>
    <t>Ultrasonic Base Cabinet, 20"W x 24"H x 24"D</t>
  </si>
  <si>
    <t>USB2034-24</t>
  </si>
  <si>
    <t>Ultrasonic Base Cabinet, 20"W x 34"H x 24"D</t>
  </si>
  <si>
    <t>W1224</t>
  </si>
  <si>
    <t>Wall Cabinet, 1 Door, 12"W x 24"H</t>
  </si>
  <si>
    <t>W1230</t>
  </si>
  <si>
    <t>Wall Cabinet, 1 Door, 12"W x 30"H</t>
  </si>
  <si>
    <t>W1524</t>
  </si>
  <si>
    <t>Wall Cabinet, 1 Door, 15"W x 24"H</t>
  </si>
  <si>
    <t>W1530</t>
  </si>
  <si>
    <t>Wall Cabinet, 1 Door, 15"W x 30"H</t>
  </si>
  <si>
    <t>W1824</t>
  </si>
  <si>
    <t>Wall Cabinet, 1 Door, 18"W x 24"H</t>
  </si>
  <si>
    <t>W1830</t>
  </si>
  <si>
    <t>Wall Cabinet, 1 Door, 18"W x 30"H</t>
  </si>
  <si>
    <t>W2024</t>
  </si>
  <si>
    <t>Wall Cabinet, 1 Door, 20"W x 24"H</t>
  </si>
  <si>
    <t>W2030</t>
  </si>
  <si>
    <t>Wall Cabinet, 1 Door, 20"W x 30"H</t>
  </si>
  <si>
    <t>W2224</t>
  </si>
  <si>
    <t>Wall Cabinet, 1 Door, 22"W x 24"H</t>
  </si>
  <si>
    <t>W2230</t>
  </si>
  <si>
    <t>Wall Cabinet, 1 Door, 22"W x 30"H</t>
  </si>
  <si>
    <t>W2324</t>
  </si>
  <si>
    <t>Wall Cabinet, 2 Door, 23"W x 24"H</t>
  </si>
  <si>
    <t>W2330</t>
  </si>
  <si>
    <t>Wall Cabinet, 2 Door, 23"W x 30"H</t>
  </si>
  <si>
    <t>W2424</t>
  </si>
  <si>
    <t>Wall Cabinet, 2 Door, 24"W x 24"H</t>
  </si>
  <si>
    <t>W2430</t>
  </si>
  <si>
    <t>Wall Cabinet, 2 Door, 24"W x 30"H</t>
  </si>
  <si>
    <t>W2724</t>
  </si>
  <si>
    <t>Wall Cabinet, 2 Door, 27"W x 24"H</t>
  </si>
  <si>
    <t>W2730</t>
  </si>
  <si>
    <t>Wall Cabinet, 2 Door, 27"W x 30"H</t>
  </si>
  <si>
    <t>W3024</t>
  </si>
  <si>
    <t>Wall Cabinet, 2 Door, 30"W x 24"H</t>
  </si>
  <si>
    <t>W3030</t>
  </si>
  <si>
    <t>Wall Cabinet, 2 Door, 30"W x 30"H</t>
  </si>
  <si>
    <t>W3324</t>
  </si>
  <si>
    <t>Wall Cabinet, 2 Door, 33"W x 24"H</t>
  </si>
  <si>
    <t>W3330</t>
  </si>
  <si>
    <t>Wall Cabinet, 2 Door, 33"W x 30"H</t>
  </si>
  <si>
    <t>W3624</t>
  </si>
  <si>
    <t>Wall Cabinet, 2 Door, 36"W x 24"H</t>
  </si>
  <si>
    <t>W3630</t>
  </si>
  <si>
    <t>Wall Cabinet, 2 Door, 36"W x 30"H</t>
  </si>
  <si>
    <t>WD2824-10</t>
  </si>
  <si>
    <t>Wall Dispenser Cabinet, 28"W x 24"H x 10"D</t>
  </si>
  <si>
    <t>WP-1</t>
  </si>
  <si>
    <t>O-SO-Pure Mineral Mizer II purifier w- Water Dispenser Gun</t>
  </si>
  <si>
    <t>WT2924</t>
  </si>
  <si>
    <t>Wall Tub &amp; Tray Storage Cabinet, 29"W x 24"H</t>
  </si>
  <si>
    <t>Takara Belmont USA, Inc.</t>
  </si>
  <si>
    <t>Enter Belmont Salesperson's Name here</t>
  </si>
  <si>
    <t xml:space="preserve">Enter Installing Dealer Name </t>
  </si>
  <si>
    <t>Enter Dealer Rep's Name</t>
  </si>
  <si>
    <t>Enter Purchasing Customer's Name</t>
  </si>
  <si>
    <t>Item #</t>
  </si>
  <si>
    <t>Give the Proposal A Title</t>
  </si>
  <si>
    <t>Proposal for a 3 Dentist Operatory in Montgomery, Alabama</t>
  </si>
  <si>
    <t>Vendor Unit Price</t>
  </si>
  <si>
    <t>Retail Unit Price</t>
  </si>
  <si>
    <t>Enter Dealer Discount Rate</t>
  </si>
  <si>
    <t>Stool</t>
  </si>
  <si>
    <t>Part</t>
  </si>
  <si>
    <t>Chair</t>
  </si>
  <si>
    <t>X-Ray</t>
  </si>
  <si>
    <t>Category</t>
  </si>
  <si>
    <t>Light</t>
  </si>
  <si>
    <t>Unit</t>
  </si>
  <si>
    <t>Cabinet</t>
  </si>
  <si>
    <t>Product Category</t>
  </si>
  <si>
    <t>Chairs</t>
  </si>
  <si>
    <t>Lights</t>
  </si>
  <si>
    <t>Stools</t>
  </si>
  <si>
    <t>Units</t>
  </si>
  <si>
    <t>Parts</t>
  </si>
  <si>
    <t>X_Ray</t>
  </si>
  <si>
    <t>Czbinet</t>
  </si>
  <si>
    <t>Price</t>
  </si>
  <si>
    <t>Foot Control</t>
  </si>
  <si>
    <t>DU201</t>
  </si>
  <si>
    <t>DU202</t>
  </si>
  <si>
    <t>DU100</t>
  </si>
  <si>
    <t>Atlantis</t>
  </si>
  <si>
    <t>Autumn</t>
  </si>
  <si>
    <t>Black</t>
  </si>
  <si>
    <t>Cinnamon</t>
  </si>
  <si>
    <t>Cobalt</t>
  </si>
  <si>
    <t>Desert Rose</t>
  </si>
  <si>
    <t>Dusty Jade</t>
  </si>
  <si>
    <t>Grey Teal</t>
  </si>
  <si>
    <t>DU213</t>
  </si>
  <si>
    <t>DU116</t>
  </si>
  <si>
    <t>MOR06</t>
  </si>
  <si>
    <t>MOR11</t>
  </si>
  <si>
    <t>MOR15</t>
  </si>
  <si>
    <t>MOR19</t>
  </si>
  <si>
    <t>Greystone</t>
  </si>
  <si>
    <t>MOR03</t>
  </si>
  <si>
    <t>Mauve</t>
  </si>
  <si>
    <t>MOR07</t>
  </si>
  <si>
    <t>MH040</t>
  </si>
  <si>
    <t>DU220</t>
  </si>
  <si>
    <t>MOR18</t>
  </si>
  <si>
    <t>DU210</t>
  </si>
  <si>
    <t>MOR14</t>
  </si>
  <si>
    <t>Purple Grey</t>
  </si>
  <si>
    <t>Sage</t>
  </si>
  <si>
    <t>Stormy</t>
  </si>
  <si>
    <t>Taupe</t>
  </si>
  <si>
    <t>Tumbleweed</t>
  </si>
  <si>
    <t>Wedgewood</t>
  </si>
  <si>
    <t>Baltic</t>
  </si>
  <si>
    <t>Cashmere</t>
  </si>
  <si>
    <t>Charcoal</t>
  </si>
  <si>
    <t>Chianti</t>
  </si>
  <si>
    <t>Copper</t>
  </si>
  <si>
    <t>Curry</t>
  </si>
  <si>
    <t>Diplomat Blue</t>
  </si>
  <si>
    <t>Dove Grey</t>
  </si>
  <si>
    <t>Eucalyptus</t>
  </si>
  <si>
    <t>Green Tea</t>
  </si>
  <si>
    <t>Lake</t>
  </si>
  <si>
    <t>Licorice</t>
  </si>
  <si>
    <t>Mica</t>
  </si>
  <si>
    <t>Papyrus</t>
  </si>
  <si>
    <t>Pewter</t>
  </si>
  <si>
    <t>Raven Wing</t>
  </si>
  <si>
    <t>Sand</t>
  </si>
  <si>
    <t>Shetland</t>
  </si>
  <si>
    <t>Stone</t>
  </si>
  <si>
    <t>Walnut</t>
  </si>
  <si>
    <t>Wheat</t>
  </si>
  <si>
    <t>Duration</t>
  </si>
  <si>
    <t>Ultraleather</t>
  </si>
  <si>
    <t>NU</t>
  </si>
  <si>
    <t>ULNU</t>
  </si>
  <si>
    <t>SL</t>
  </si>
  <si>
    <t>ULSL</t>
  </si>
  <si>
    <t>ULHP</t>
  </si>
  <si>
    <t>Benchmark</t>
  </si>
  <si>
    <t>Seamed with Slings</t>
  </si>
  <si>
    <t>Elite</t>
  </si>
  <si>
    <t>SWOS</t>
  </si>
  <si>
    <t>PWOS</t>
  </si>
  <si>
    <t>SWSL</t>
  </si>
  <si>
    <t>PWSL</t>
  </si>
  <si>
    <t>Standard Without Slings</t>
  </si>
  <si>
    <t>Plush Without Slings</t>
  </si>
  <si>
    <t>Standard with Slings</t>
  </si>
  <si>
    <t>Plush with Slings</t>
  </si>
  <si>
    <t>Wing Style</t>
  </si>
  <si>
    <t>QSS</t>
  </si>
  <si>
    <t>QPS</t>
  </si>
  <si>
    <t>QSW</t>
  </si>
  <si>
    <t>QPW</t>
  </si>
  <si>
    <t>Seamless with Slings</t>
  </si>
  <si>
    <t>Seamless Wideback</t>
  </si>
  <si>
    <t>Plush Wideback</t>
  </si>
  <si>
    <t>Styles</t>
  </si>
  <si>
    <t>Both</t>
  </si>
  <si>
    <t>Options</t>
  </si>
  <si>
    <t>All Options</t>
  </si>
  <si>
    <t>Option Price</t>
  </si>
  <si>
    <t>Chair Mounted Touchpad (1 Programmable Position)</t>
  </si>
  <si>
    <t>Chair Mounted Touchpad (2 Programmable Position)</t>
  </si>
  <si>
    <t>B99FM</t>
  </si>
  <si>
    <t>Foot Control with 2 programmable positions, Base up/down, Backrest forward/recline, Auto-return</t>
  </si>
  <si>
    <t xml:space="preserve"> B99FM</t>
  </si>
  <si>
    <t>Flat style headrest with magnetic wedge cushion</t>
  </si>
  <si>
    <t>Upholstered armrest covers with SWOS and PWOS upholstery style: Standard Colors</t>
  </si>
  <si>
    <t>B50AC1</t>
  </si>
  <si>
    <t>B50AC2</t>
  </si>
  <si>
    <t>Chair mounted touchpad, 1 programmable position &amp; AR</t>
  </si>
  <si>
    <t>Chair mounted touchpad, 2 programmable position &amp; AR</t>
  </si>
  <si>
    <t>Foot control w-2 programmable positions &amp; AR</t>
  </si>
  <si>
    <t>5 Foot wire harness for touchpad mounting: Purchase required for connecting touchpad</t>
  </si>
  <si>
    <t>Flat style Headrest with Magnetic cushion</t>
  </si>
  <si>
    <t>Upholstered armrest covers for Benchmark &amp; Elite upholstery styles: Standard Duration or Ultraleather Colors</t>
  </si>
  <si>
    <t>Upholstered armrest covers for Benchmark &amp; Elite upholstery styles: Non-Standard Duration or Ultraleather Colors</t>
  </si>
  <si>
    <t>Flat Style Headrest with Magnetic Wedge Cushion</t>
  </si>
  <si>
    <t>Duration Non-Standard Colors</t>
  </si>
  <si>
    <t>Type</t>
  </si>
  <si>
    <t>Ultraleather Non-Standard Colors</t>
  </si>
  <si>
    <t>O37N</t>
  </si>
  <si>
    <t>_81</t>
  </si>
  <si>
    <t>_91</t>
  </si>
  <si>
    <t>1__</t>
  </si>
  <si>
    <t>1_1</t>
  </si>
  <si>
    <t>_9_</t>
  </si>
  <si>
    <t>Style (Only Applies to Chairs)</t>
  </si>
  <si>
    <t>_37ND</t>
  </si>
  <si>
    <t>_37NU</t>
  </si>
  <si>
    <t>Short cylinder for 16- 1/2" - 21" adjustable seat height range (N/C when ordered with stool)</t>
  </si>
  <si>
    <t>09088126</t>
  </si>
  <si>
    <t>09198127</t>
  </si>
  <si>
    <t>Long cylinder for 22" - 31" adjustable seat height range (N/C when ordered with stool)</t>
  </si>
  <si>
    <t>_8_</t>
  </si>
  <si>
    <t>Style Upcharge</t>
  </si>
  <si>
    <t>Color Upcharge</t>
  </si>
  <si>
    <t>Bel-Cat</t>
  </si>
  <si>
    <t>U-Shaped Free Standing Base For X-Ray Column</t>
  </si>
  <si>
    <t>Bel-CATCM</t>
  </si>
  <si>
    <t>Bel-CATPA</t>
  </si>
  <si>
    <t>Bel-CatPA</t>
  </si>
  <si>
    <t>Bel-CatCM</t>
  </si>
  <si>
    <t>Bel-MaxCM</t>
  </si>
  <si>
    <t>Flat Plate Style Free Standing Base for X-Ray Column</t>
  </si>
  <si>
    <t>Bel-maxCM</t>
  </si>
  <si>
    <t>Plastic Bite Block Cover pkg. of 500</t>
  </si>
  <si>
    <t>PHOT-XII</t>
  </si>
  <si>
    <t>Long Cone (12")</t>
  </si>
  <si>
    <t>20" Horizontal Arm</t>
  </si>
  <si>
    <t>12" Horizontal Arm</t>
  </si>
  <si>
    <t>Pass-Thru Wall Mounting Plate (See page 197)</t>
  </si>
  <si>
    <t>BelSensor GOLD Total Kit #1</t>
  </si>
  <si>
    <t>BelSensor GOLD Total Kit #2</t>
  </si>
  <si>
    <t>#</t>
  </si>
  <si>
    <t>S</t>
  </si>
  <si>
    <t>NONSTD</t>
  </si>
  <si>
    <t>NONSTANDARD</t>
  </si>
  <si>
    <t>NonStandard</t>
  </si>
  <si>
    <t>Cat&amp;Uph&amp;Color</t>
  </si>
  <si>
    <t>Upcharge</t>
  </si>
  <si>
    <t>StoolsDuration</t>
  </si>
  <si>
    <t>StoolsUltraLeather</t>
  </si>
  <si>
    <t>StoolsDurationNonStandard</t>
  </si>
  <si>
    <t>StoolsUltraLeatherNonStandard</t>
  </si>
  <si>
    <t>ChairsDuration</t>
  </si>
  <si>
    <t>ChairsUltraleather</t>
  </si>
  <si>
    <t>ChairsDurationNonStandard</t>
  </si>
  <si>
    <t>ChairsUltraleatherNonStandard</t>
  </si>
  <si>
    <t>Price with Options</t>
  </si>
  <si>
    <t>BelSensor XV Lite Software (1 Additional User)</t>
  </si>
  <si>
    <t>BelSensor XV Lite Software (5 Additional Users)</t>
  </si>
  <si>
    <t>BelSensor XV Lite Software (10 Additional Users)</t>
  </si>
  <si>
    <t>BelSensor XV Lite Software (20 Additional Users)</t>
  </si>
  <si>
    <t>XV Lite Software for an additional location</t>
  </si>
  <si>
    <t>BSEN-XVtoXVPRO</t>
  </si>
  <si>
    <t>BelSensor Software Upgrade from BelSensor XV Lite Software to BelSensor XV Pro Software</t>
  </si>
  <si>
    <t>BSEN-XVSYNC</t>
  </si>
  <si>
    <t>Synchronizes two BSEN XV Lite or Pro Databases for a dental practice</t>
  </si>
  <si>
    <t>BSEN-XVSYNCADDSERV</t>
  </si>
  <si>
    <t>Additional SYNC Server allows you to expand your network by adding an additional server</t>
  </si>
  <si>
    <t>BSEN-XVLITEPAL</t>
  </si>
  <si>
    <t>BSEN-XV20</t>
  </si>
  <si>
    <t>BelSensor  XVPRO Software Base License</t>
  </si>
  <si>
    <t>BSEN-SVPROLIC</t>
  </si>
  <si>
    <t>BelSensor SVPRO Software (1 Additional User</t>
  </si>
  <si>
    <t>BSEN-SVPROLIC5</t>
  </si>
  <si>
    <t>BSEN-SVPROLIC10</t>
  </si>
  <si>
    <t>BSEN-SVPROLIC20</t>
  </si>
  <si>
    <t>BelSensor SVPRO Software (5 Additional Users</t>
  </si>
  <si>
    <t>BelSensor SVPRO Software (10 Additional Users)</t>
  </si>
  <si>
    <t>BelSensor SVPRO Software (20 Additional Users)</t>
  </si>
  <si>
    <t>X-Ray Vision DICOM Capture View (DCV)</t>
  </si>
  <si>
    <t>BSEN-XRAYVISIONDCV</t>
  </si>
  <si>
    <t>BSEN-XRAYVISIONDCV-LIC</t>
  </si>
  <si>
    <t>X-Ray Vision DICOM Capture View (DCV), License for additional user</t>
  </si>
  <si>
    <t>X-Ray Vision Data Manager, Picture Archive and Communication System (PACS) server application for BSEN-X-Ray Vision DCF</t>
  </si>
  <si>
    <t>X-Ray Vision Data MANAGER, DCV Forwarding Data Manager- For forwarding images from a site on a schedule</t>
  </si>
  <si>
    <t>BSENXVSYNC</t>
  </si>
  <si>
    <t>Synchronization of two BSEN XV Lite or Pro Databases for a dental practice</t>
  </si>
  <si>
    <t>BelSensor SVPRO Software (1 Additional User)</t>
  </si>
  <si>
    <t>BelSensor SVPRO Software (5 Additional Users)</t>
  </si>
  <si>
    <t>Adapter for Light Post (Belmont Style)</t>
  </si>
  <si>
    <t>Adapter for Light Post (Ritter Style)</t>
  </si>
  <si>
    <t>8482B (White Only)</t>
  </si>
  <si>
    <t>48" Straight Light Post with plastic bushing for mounting Belmont post mounted lights to chairs w/o units (requires chair adapter).</t>
  </si>
  <si>
    <t>Factory Installation Option for Mounting Bel-Halo 907 to D-4R Cabinet</t>
  </si>
  <si>
    <t>Field Installation Kit for Mounting Bel-Halo 907 to D-4R Cabinet (no ETL listing)</t>
  </si>
  <si>
    <t>Factory Installation Option for Mounting Bel-Halo 907 to E-4 Cabinet</t>
  </si>
  <si>
    <t>Field Installation Kit for Mounting Bel-Halo 907 to E-4 Cabinet (no ETL listing)</t>
  </si>
  <si>
    <t>BDS0012 (White Only)</t>
  </si>
  <si>
    <t>24" Straight Line Post with plastic bushing for mounting Belmont post mounted lights to BSD over the patient units (requires light support pipe FHTA18B0)</t>
  </si>
  <si>
    <t>LMKB20KIT (White only)</t>
  </si>
  <si>
    <t>Light Mount Kit for B-20N, B-20+, B-20, B-50, &amp; PRO II chairs (includes 8482B 48"light post and 8493B chair adapter</t>
  </si>
  <si>
    <t>AL-511T</t>
  </si>
  <si>
    <t>Factory Installation Option for mounting 517 to D-4R Cabinet</t>
  </si>
  <si>
    <t>Field Installation Kit for mounting 517 to D-4R  Cabinet (no ETL listing)</t>
  </si>
  <si>
    <t>Factory Installation Option for mounting 517 to E-4 Cabinet (no ETL listing)</t>
  </si>
  <si>
    <t>LMKB20KIT (White Only)</t>
  </si>
  <si>
    <t>Field Installation Kid for mounting 517 to E-4 Cabinet (no ETL Listing)</t>
  </si>
  <si>
    <t>24" Straight Line Post with plastic bushing for mounting Belmont post mounted lights to BDS over the patient units (requires light support pipe FHTA18B0)</t>
  </si>
  <si>
    <t>Light Mount Kit for B-20N, B-20+, B-20, B-50 &amp; PRO II chairs (includes 8482B post and 8493B chair adapter)</t>
  </si>
  <si>
    <t>AL-512T</t>
  </si>
  <si>
    <t>AL-515T</t>
  </si>
  <si>
    <t>AL-517N</t>
  </si>
  <si>
    <t>AL-518T</t>
  </si>
  <si>
    <t>AL-711M</t>
  </si>
  <si>
    <t>AL-712M</t>
  </si>
  <si>
    <t>AL-715M</t>
  </si>
  <si>
    <t>AL-820</t>
  </si>
  <si>
    <t>AL-\512T</t>
  </si>
  <si>
    <t>Standard Cabinetry Colors</t>
  </si>
  <si>
    <t>Angel White</t>
  </si>
  <si>
    <t>Figured Mahogany</t>
  </si>
  <si>
    <t>Fusion Maple</t>
  </si>
  <si>
    <t>Harvest Maple</t>
  </si>
  <si>
    <t>Indigo Blue</t>
  </si>
  <si>
    <t>Ingot Gray</t>
  </si>
  <si>
    <t>Leave Likatre</t>
  </si>
  <si>
    <t>Negotiating in Geneva</t>
  </si>
  <si>
    <t>Spiced Walnut</t>
  </si>
  <si>
    <t>Wild Cherry</t>
  </si>
  <si>
    <t>Witchcraft</t>
  </si>
  <si>
    <t>Standard 3mm PVC Edge Colors</t>
  </si>
  <si>
    <t>Wilsonart H.D. Laminate</t>
  </si>
  <si>
    <t>African Limba</t>
  </si>
  <si>
    <t>Chocolate Brown</t>
  </si>
  <si>
    <t>Desert Beige</t>
  </si>
  <si>
    <t>Surf</t>
  </si>
  <si>
    <t>Crystalline Braun</t>
  </si>
  <si>
    <t>Bainbrook Grey</t>
  </si>
  <si>
    <t>Bella Capri</t>
  </si>
  <si>
    <t>Luna Winter</t>
  </si>
  <si>
    <t>Deepstar Glaze</t>
  </si>
  <si>
    <t>Salentina Argento</t>
  </si>
  <si>
    <t>Salentina Grigio</t>
  </si>
  <si>
    <t>Silver Travertine</t>
  </si>
  <si>
    <t>LG Hausys HI-MACS Solid Surface</t>
  </si>
  <si>
    <t>Allspice Quartz</t>
  </si>
  <si>
    <t>Almond</t>
  </si>
  <si>
    <t>Alpine White</t>
  </si>
  <si>
    <t>Armadillo</t>
  </si>
  <si>
    <t>Desert Sand</t>
  </si>
  <si>
    <t>Gray Sand</t>
  </si>
  <si>
    <t>Merino</t>
  </si>
  <si>
    <t>Meteor</t>
  </si>
  <si>
    <t>Platinum Granite</t>
  </si>
  <si>
    <t>Sea Oat Quartz</t>
  </si>
  <si>
    <t>Trail Gray</t>
  </si>
  <si>
    <t>Vanilla Sugar</t>
  </si>
  <si>
    <t>Cambria Quartz</t>
  </si>
  <si>
    <t>Bellingham</t>
  </si>
  <si>
    <t>Berkeley</t>
  </si>
  <si>
    <t>Brownhill</t>
  </si>
  <si>
    <t>Burton Brown</t>
  </si>
  <si>
    <t>Cambrian Black</t>
  </si>
  <si>
    <t>Durham</t>
  </si>
  <si>
    <t>Kingston</t>
  </si>
  <si>
    <t>Laneshaw</t>
  </si>
  <si>
    <t>Minera</t>
  </si>
  <si>
    <t>Park Gate</t>
  </si>
  <si>
    <t>Sussex</t>
  </si>
  <si>
    <t>Torquay</t>
  </si>
  <si>
    <t>Victoria</t>
  </si>
  <si>
    <t>Waterford</t>
  </si>
  <si>
    <t>Whitney</t>
  </si>
  <si>
    <t>Additional glove / tissue dispenser on door</t>
  </si>
  <si>
    <r>
      <t xml:space="preserve">Drawer module with door and adjustable shelf </t>
    </r>
    <r>
      <rPr>
        <i/>
        <sz val="11"/>
        <color theme="1"/>
        <rFont val="Calibri"/>
        <family val="2"/>
        <scheme val="minor"/>
      </rPr>
      <t>Drawer module cabinet with side storage door with adjustable shelf and (1) 4", (2) 5" and (1) 8" drawers</t>
    </r>
  </si>
  <si>
    <t>Bumper rails for E-9 Mobile cart</t>
  </si>
  <si>
    <t>Manual faucet</t>
  </si>
  <si>
    <t>Stainless steel manual facuet and soap dispenser</t>
  </si>
  <si>
    <t>Tapmaster cabinet door activation with manual faucet</t>
  </si>
  <si>
    <t>Tapmaster Euro-Style foot activation with manual faucet</t>
  </si>
  <si>
    <t>Deduction of sink package</t>
  </si>
  <si>
    <t>Upgrade from HD Laminate to LG Hausys HI-Macs solid surface (Select Sink Below)</t>
  </si>
  <si>
    <t>Upgrade from HD Laminate to Cambria Quartz work surface (Select Sink Below)</t>
  </si>
  <si>
    <t>Undermount Stainless Steel Bowl (Solid Surface or Cambria)</t>
  </si>
  <si>
    <t>Undermount Solid Bowl (Solid Surface or Cambria)</t>
  </si>
  <si>
    <t>Glass Bowl (Laminate, Solid Surface, or Cambria)</t>
  </si>
  <si>
    <t>Side Delivery Unit</t>
  </si>
  <si>
    <t>Upgrade from HD laminate to LG Hausys HI-Macs solid surface (E-2L Only)</t>
  </si>
  <si>
    <t>Upgrade from HD laminate to Cambria Quartz work surface (E-2L Only)</t>
  </si>
  <si>
    <t>Full back panel (applicable with E-1 &amp; E-2)</t>
  </si>
  <si>
    <t>Short back panel (applicable with E-1 &amp; E-2L)</t>
  </si>
  <si>
    <t>Full back panel (applicable with E-3 &amp; E-2)</t>
  </si>
  <si>
    <t>Short back panel (applicable with E-3 &amp; E-2L)</t>
  </si>
  <si>
    <t>Additional tempered glass shelf 1/4" x 14" x 19-13/16"</t>
  </si>
  <si>
    <t>Glove/tissue dispenser on (1) side (applicable w/ E-2, E-2U)</t>
  </si>
  <si>
    <t>Dual upper storage compartment w/ flip &amp; straight up doors</t>
  </si>
  <si>
    <t>Additional Glove/tissue dispenser on door</t>
  </si>
  <si>
    <t>Upgrade standard drawers to writing surface, (2) 5" drawers, (1) 8" equipment pull-out and (1) 6" drawer</t>
  </si>
  <si>
    <t>Stainless steel manual faucet and soap dispenser</t>
  </si>
  <si>
    <t>Tapmaster Euro-style foot activation with manual faucet</t>
  </si>
  <si>
    <t>E-3 Upgrade from HD Laminate to LG Hausys HI-Macs solid surface (select sink below)</t>
  </si>
  <si>
    <t>E-3C Upgrade from HD Laminate to LG Hausys HI-Macs solid surface (select sink below)</t>
  </si>
  <si>
    <t>E-3 Upgrade from HD Laminate to Cambria Quartz work surface (select sink below)</t>
  </si>
  <si>
    <t>E-3C Upgrade from HD Laminate to Cambria Quartz work surface (select sink below)</t>
  </si>
  <si>
    <t>E-3CM Upgrade from HD Laminate to LG Hausys HI-Macs solid surface (Select sink below)</t>
  </si>
  <si>
    <t>E-3CMC Upgrade from HD Laminate to LG Hausys HI-Macs solid surface (select sink below)</t>
  </si>
  <si>
    <t>E-3CM Upgrade from HD Laminate to Cambria Quartz work surface (select sink below)</t>
  </si>
  <si>
    <t>E-3CMC Upgrade from HD Laminate to Cambria Quartz work surface (select sink below)</t>
  </si>
  <si>
    <t>Bi-fold doors with 1 1/2" thick end column</t>
  </si>
  <si>
    <t>Field installation kit for Mounting Bel-Halo 907 to E-4 Cabinet (no ETL Listing)</t>
  </si>
  <si>
    <t>Bel-Halo LED Light, Cabinet Mounted</t>
  </si>
  <si>
    <t>Factory Installation Option for Mounting Clesta 517N to E-4 Cabinet</t>
  </si>
  <si>
    <t>Field Installation kit for mounting Clesta 517N to E-4 Cabinet (no ETL Listing)</t>
  </si>
  <si>
    <t>Clesta Light, Cabinet Mounted</t>
  </si>
  <si>
    <t>Additional tempered glass shelf 1/4" x 9-9/16" x 18-1/2"</t>
  </si>
  <si>
    <t xml:space="preserve">Additional tempered glass shelf 1/4" x 15-1/2" x15-1/2" </t>
  </si>
  <si>
    <t>Deduction of Sink Package</t>
  </si>
  <si>
    <t>E-4 Upgrade from HD Laminate to LG Hausys HI-Macs solid surfaces (select sink below)</t>
  </si>
  <si>
    <t>E-4 with Bi-Fold Upgrade from HD laminate to LG Hausys HI-Macs solid surface (select sink below)</t>
  </si>
  <si>
    <t>E-4 Upgrade from HD laminate to Cambria Quartz work surface (select sink below)</t>
  </si>
  <si>
    <t>E-4 with Bi-Fold Upgrade from HD laminate to Cambria Quartz work surface (select sink below)</t>
  </si>
  <si>
    <t>Drawer module with side storage, w/ adjustable shelf, (1) 4", (2) 5" and (1) 8" drawers</t>
  </si>
  <si>
    <t>Drawer module with door and adjustable shelf applicable with 92-092</t>
  </si>
  <si>
    <t>End section module - (2) door storage for 92-092</t>
  </si>
  <si>
    <t>End section module - (2) door pass-thru</t>
  </si>
  <si>
    <t>End section module - (2)door pass-thru for 92-092</t>
  </si>
  <si>
    <t>End section module (applicable w/ Belmont X-Ray)</t>
  </si>
  <si>
    <t>Glass partition - upper with textured Niagra</t>
  </si>
  <si>
    <t>Glass partition- upper w/ frosted sign</t>
  </si>
  <si>
    <t>Glass partition mid-section w/ frosted sign</t>
  </si>
  <si>
    <t>Glass partition- end privacy, for x-ray option</t>
  </si>
  <si>
    <t>USB Power Venting System- upper storage only</t>
  </si>
  <si>
    <t>Bumper rails for mobile cart (E-9)</t>
  </si>
  <si>
    <t>Monitor arm for flat panel PC monitor</t>
  </si>
  <si>
    <t>Panarama X-Ray Viewer</t>
  </si>
  <si>
    <t xml:space="preserve">Additional tempered glass shelf 1/4" x 9-3/4" x20-5/8" </t>
  </si>
  <si>
    <t>Additional temp. glass shelf 1/4"x 9-3/4" x 16-5/16" (applicable on 92-243)</t>
  </si>
  <si>
    <t>E-5 Upgrade from HD laminate to LG Hausys HI-Macs solid surface top and sliding surface</t>
  </si>
  <si>
    <t>E-5L Upgrade from HD laminate to LG Hausys HI-Macs solid surfaces tops and sliding surface</t>
  </si>
  <si>
    <t>E-5 Upgrade from HD laminate to Cambria Quartz work surfaces and sliding top</t>
  </si>
  <si>
    <t>E-5L Upgrade from HD laminate to Cambria Quartz work surfaces and sliding top</t>
  </si>
  <si>
    <t>Dual upper storage with flip and vertical lift door</t>
  </si>
  <si>
    <t>Vent grill on door</t>
  </si>
  <si>
    <t>Cabinet Mounted USB hub</t>
  </si>
  <si>
    <t>Under cabinet left to right sliding falt panel PC monitor mount</t>
  </si>
  <si>
    <t>Left-Right Assistant &amp; Doctor Instrumentation (Bottled Water System Only)</t>
  </si>
  <si>
    <t>Left-Right Assistant Instrumentation Only (Bottled Water System Only)</t>
  </si>
  <si>
    <t>City Water System Kit for BDS-2561, 2563, 2564, 2541, and 2543</t>
  </si>
  <si>
    <t>Air and water accessory panel</t>
  </si>
  <si>
    <t>Additional tempered glass shelf 1/4" x 9-3/4" x 25-7/8"</t>
  </si>
  <si>
    <t>Additional tempered glass shelf 1/4" x 9-3/4" x 21-1/2" (applicable on 92-245)</t>
  </si>
  <si>
    <t>E-6 Upgrade from HD Laminate to LG Hausys HI-Macs solid surface top and sliding surface</t>
  </si>
  <si>
    <t>E-6 Upgrade from HD laminate to Cambria Quartz work surfaces and sliding top</t>
  </si>
  <si>
    <t>Slide-In Pocket Door</t>
  </si>
  <si>
    <t>USB Power Venting System (lower only)</t>
  </si>
  <si>
    <t>Vent grill for upper storage compartment</t>
  </si>
  <si>
    <t>Monitor arm for flat panel PC Monitor</t>
  </si>
  <si>
    <t>Under cabinet left to right sliding flat panel PC monitor mount</t>
  </si>
  <si>
    <t>92-248</t>
  </si>
  <si>
    <t>36" Tall Dual upper storage w/ flip up top door Including (2) additional glove dispensers</t>
  </si>
  <si>
    <t>Cabinet Mounted USB Hub</t>
  </si>
  <si>
    <t>E-6L Upgrade from HD Laminate to LG Hausys HI-Macs solid surface top and sliding surface</t>
  </si>
  <si>
    <t>E-6L Upgrade from HD laminate to Cambria Quartz work surfaces and sliding top</t>
  </si>
  <si>
    <t>5", 7", and 9" drawers</t>
  </si>
  <si>
    <t>5", (2) 4", and 9" drawers</t>
  </si>
  <si>
    <t>5", 7" equipment pull-out and 9" equipment pull-out drawers</t>
  </si>
  <si>
    <t>5", 7" equipment pull-out, 4" and 6" drawers</t>
  </si>
  <si>
    <t>Breadboard, (2) 7" equipment pull-outs and 6" drawers</t>
  </si>
  <si>
    <t>(2) 4", 7" equipment pull-out and 6" drawers</t>
  </si>
  <si>
    <t>CPU Pull-out shelf</t>
  </si>
  <si>
    <t>Additional glove/tissue dispenser on door</t>
  </si>
  <si>
    <t>Tapmaster Euro-Style foot activation with manual faucet (E-7-DS only)</t>
  </si>
  <si>
    <t>Tapmaster Euro-Style foot activation with manual faucet (E-7-RS/LS only)</t>
  </si>
  <si>
    <t>Manual faucet (E-7-LS / E-7-RS only)</t>
  </si>
  <si>
    <t>E-7-DS Upgrade from HD Laminate to LG Hausys HI-Macs solid surface tops and sliding surface (select sinks below)</t>
  </si>
  <si>
    <t>E-7-DS Upgrade from HD Laminate to Cambria Quartz work surfaces and sliding top (select sinks below)</t>
  </si>
  <si>
    <t>E-7-LS/RS Upgrade from HD laminate to LG Hausys HI-Macs solid surface tops and sliding surface</t>
  </si>
  <si>
    <t>E-7 Upgrade from HD laminate to LG Hausys HI-Macs solid surface top and sliding surface</t>
  </si>
  <si>
    <t>E-7 Upgrade from HD laminate to LG Hausys Cambria Quartz work surface and sliding surface</t>
  </si>
  <si>
    <t>E-7-LS/RS upgrade from LG Hausys HI-Macs solid surface tops and sliding surface (select sinks below)</t>
  </si>
  <si>
    <t>E-7-LS/RS Upgrade from HD laminate to Cambria Quartz work surfaces and sliding top (select sink below)</t>
  </si>
  <si>
    <t>(2) Undermount Stainless Steel Bowls (Solid Surface or Cambria)</t>
  </si>
  <si>
    <t>(2) Undermount Solid Bowls (Solid Surface or Cambria)</t>
  </si>
  <si>
    <t>(2) Glass bowls  (Laminate, Solid Surface, or Cambria)</t>
  </si>
  <si>
    <t xml:space="preserve">Glass Bowl (Laminate, Solid Surface, or Cambria) </t>
  </si>
  <si>
    <t>Glove / Tissue dispenser on door</t>
  </si>
  <si>
    <t>Upgrade from HD laminate to LG Hausys HI-Macs solid surface (select sink below)</t>
  </si>
  <si>
    <t>Upgrade from HD laminate to Cambria Quartz work surface (select sink below)</t>
  </si>
  <si>
    <t>Undermount Stainless Steel Bowl  (Solid Surface or Cambria)</t>
  </si>
  <si>
    <t>Upgrade from HD Laminate to LG Hausys HI-Macs solid surface</t>
  </si>
  <si>
    <t>Cut-out for recessed ultrasonic cleaner in (laminate) countertop</t>
  </si>
  <si>
    <t>Cut-out for recessed ultrasonic cleaner in Cambria countertop</t>
  </si>
  <si>
    <t>92-420</t>
  </si>
  <si>
    <t>Upgrade from HD laminate to LG Hausys HI-Macs solid surface</t>
  </si>
  <si>
    <t>Upgrade from HD laminate to Cambria Quartz work surface</t>
  </si>
  <si>
    <t>92-450</t>
  </si>
  <si>
    <t>Task lighting / per light</t>
  </si>
  <si>
    <t>93-806</t>
  </si>
  <si>
    <t>Knee activated trash drawer</t>
  </si>
  <si>
    <t>Stainless steel under mount sink with Cambria countertop</t>
  </si>
  <si>
    <t>92-420-2</t>
  </si>
  <si>
    <t>92-450-2</t>
  </si>
  <si>
    <t>Stainless Steel Under mount sink with Cambria Quartz countertop</t>
  </si>
  <si>
    <t>Cut-out for recessed ultrasonic cleaner in countertop</t>
  </si>
  <si>
    <t>Cut-out for recessed ultrasonic cleaner in Cambria Quartz countertop</t>
  </si>
  <si>
    <t>Telescopic Faucet</t>
  </si>
  <si>
    <t>Stainless Steel manual faucet and soap dispenser</t>
  </si>
  <si>
    <t>Sharps disposal hanger 6.2qt.</t>
  </si>
  <si>
    <t>22 ga. Stainless Steel Back Splash</t>
  </si>
  <si>
    <t>GFCI Outlet CutOut in SS back panel</t>
  </si>
  <si>
    <t>HVE with Hose</t>
  </si>
  <si>
    <t>O-SO-Pure Mineral Mizer II Water purifier with Water Dispenser Gun</t>
  </si>
  <si>
    <t>Glove / tissue dispenser on door</t>
  </si>
  <si>
    <r>
      <t>Drawer module with door and adjustable shelf</t>
    </r>
    <r>
      <rPr>
        <i/>
        <sz val="11"/>
        <color theme="1"/>
        <rFont val="Calibri"/>
        <family val="2"/>
        <scheme val="minor"/>
      </rPr>
      <t xml:space="preserve"> Drawer module cabinet with side storage door with adjustable shelf and (3) 6" and (1) 8" drawers</t>
    </r>
  </si>
  <si>
    <t>2" Drawer under countertop</t>
  </si>
  <si>
    <t>Tapmaster kick pedal with manual faucet</t>
  </si>
  <si>
    <t>Stainless steel faucet /soap dispenser</t>
  </si>
  <si>
    <t>D-2L Upgrade from HD Laminate to LG Hausys HI-Macs solid surface</t>
  </si>
  <si>
    <t>D-2L Upgrade from HD Laminate to Cambria Quartz Work Surface</t>
  </si>
  <si>
    <t>Full back panel (applicable with D-1 &amp; D-2)</t>
  </si>
  <si>
    <t>Short back panel (applicable with D-1 &amp; D-2)</t>
  </si>
  <si>
    <t>Upgrade standard drawers to writing surface, (2) 5" drawers, (1) 8" equipment pull-out, and (1) 6" drawer</t>
  </si>
  <si>
    <t>Tapmaster kick pedal activation with manual faucet</t>
  </si>
  <si>
    <t>D-4R Bi-fold doors for X-Ray Unit</t>
  </si>
  <si>
    <t>D-4R Bi-fold doors with 1-1/2" thick end column</t>
  </si>
  <si>
    <t>D-4RH Bi-fold doors with 1-1/2" thick end column</t>
  </si>
  <si>
    <t>Factory Installation Option for Mounting Bel-Halo 907 to D-4 &amp; D-4R Cabinets</t>
  </si>
  <si>
    <t>Field Installation Kit for Mounting Bel-Halo 907 to D-4 &amp; D-4R Cabinets</t>
  </si>
  <si>
    <t>Factory Installation Option for Mounting Clesta 517N to D-4 &amp; D-4R Cabinets</t>
  </si>
  <si>
    <t>Field Installation Kit for Mounting Clesta 517N to D-4 &amp; D-4R Cabinets (no ETL listing)</t>
  </si>
  <si>
    <t>Additional tempered glass shelf 1/4" x 5-3/16" x 15-1/8"</t>
  </si>
  <si>
    <t>Stainless Steel faucet / soap dispenser</t>
  </si>
  <si>
    <t>Tapmaster dual cabinet door activation with manual faucet</t>
  </si>
  <si>
    <t>Tapmaster dual kick pedal activation with manual faucet</t>
  </si>
  <si>
    <t>D-4 Upgrade from HD laminate to LG Hausys HI-Macs solid surface (select sink below)</t>
  </si>
  <si>
    <t>D-4 with bi-fold Upgrade from HD laminate to LG Hausys HI-Macs solid surface (select sink below)</t>
  </si>
  <si>
    <t>D-4 Upgrade from HD laminate to Cambria Quartz work surface (select sink below)</t>
  </si>
  <si>
    <t>D-4 with bi-fold Upgrade from HD laminate to Cambria Quartz work surface (select sink below)</t>
  </si>
  <si>
    <t>Sterilization Center</t>
  </si>
  <si>
    <t>Height (in.)</t>
  </si>
  <si>
    <t>Length (in.)</t>
  </si>
  <si>
    <t>Depth (in.)</t>
  </si>
  <si>
    <t>Custom Sterilization Center Configurator</t>
  </si>
  <si>
    <t>Step 1: Please enter the Height Length and Depth of the Cabinetry Space you wish to design</t>
  </si>
  <si>
    <t>Size of Cabinet Selected</t>
  </si>
  <si>
    <t>Dimensions Remaining</t>
  </si>
  <si>
    <t>L</t>
  </si>
  <si>
    <t>W</t>
  </si>
  <si>
    <t>D</t>
  </si>
  <si>
    <t>SB</t>
  </si>
  <si>
    <t>H</t>
  </si>
  <si>
    <t>Prefixes</t>
  </si>
  <si>
    <t>Name</t>
  </si>
  <si>
    <t>Wall Cabinet</t>
  </si>
  <si>
    <t>WT</t>
  </si>
  <si>
    <t>Wall Tub &amp; Tray Storage Unit</t>
  </si>
  <si>
    <t>WD</t>
  </si>
  <si>
    <t>Wall Dispenser Cabinet</t>
  </si>
  <si>
    <t>BCW</t>
  </si>
  <si>
    <t>Blind Corner Wall Cabinet</t>
  </si>
  <si>
    <t>BCB</t>
  </si>
  <si>
    <t>Blind Corner Base</t>
  </si>
  <si>
    <t>Sink Base Cabinet</t>
  </si>
  <si>
    <t>B</t>
  </si>
  <si>
    <t>Base Cabinet</t>
  </si>
  <si>
    <t>B1D</t>
  </si>
  <si>
    <t>Base Cabinet with 1 Drawer</t>
  </si>
  <si>
    <t>B2D</t>
  </si>
  <si>
    <t>B3D</t>
  </si>
  <si>
    <t>B4D</t>
  </si>
  <si>
    <t>B5D</t>
  </si>
  <si>
    <t>Base Cabinet with 2 Drawers</t>
  </si>
  <si>
    <t>Base Cabinet with 3 Drawers</t>
  </si>
  <si>
    <t>Base Cabinet with 4 Drawers</t>
  </si>
  <si>
    <t>Base Cabinet with 5 Drawers</t>
  </si>
  <si>
    <t>TB</t>
  </si>
  <si>
    <t>Trash Base Cabinet</t>
  </si>
  <si>
    <t>TBD</t>
  </si>
  <si>
    <t>Trash Base Cabinet with Drawer</t>
  </si>
  <si>
    <t>USB</t>
  </si>
  <si>
    <t>Ultrasonic Base Cabinet</t>
  </si>
  <si>
    <t>ST</t>
  </si>
  <si>
    <t>Sterilization Cabinet</t>
  </si>
  <si>
    <t>TT</t>
  </si>
  <si>
    <t>Tall Tower Storage Cabinet</t>
  </si>
  <si>
    <t>B3334-234</t>
  </si>
  <si>
    <t>WT2824-10</t>
  </si>
  <si>
    <t>TOTAL</t>
  </si>
  <si>
    <t>Panoramic X-Ray Film Viewer (max size 6"x12")</t>
  </si>
  <si>
    <t>D-5CM Upgrade from  HD Laminate to LG Hausys HI-Macs solid surface top and sliding surface</t>
  </si>
  <si>
    <t>D-5CM Upgrade from HD Laminate to Cambria Quartz work surfaces and sliding top</t>
  </si>
  <si>
    <t>Under cabient lef tot right sliding flat panel PC monitor mount</t>
  </si>
  <si>
    <t>D-5CM-L Upgrade from  HD Laminate to LG Hausys HI-Macs solid surface top and sliding surface</t>
  </si>
  <si>
    <t>D-5CM-L Upgrade from HD Laminate to Cambria Quartz work surfaces and sliding top</t>
  </si>
  <si>
    <t>Mid Section Control Box with Work Surface</t>
  </si>
  <si>
    <t>Lead lining for D66-CM</t>
  </si>
  <si>
    <t>34" pass-thru upper storage</t>
  </si>
  <si>
    <t>Additional tempered glass shelf 1/4"  x 9-13/16" x 16-9/16"</t>
  </si>
  <si>
    <t>#1</t>
  </si>
  <si>
    <t>#2</t>
  </si>
  <si>
    <t>#3</t>
  </si>
  <si>
    <t>#4</t>
  </si>
  <si>
    <t>#5</t>
  </si>
  <si>
    <t>#6</t>
  </si>
  <si>
    <t>#7</t>
  </si>
  <si>
    <t>#8</t>
  </si>
  <si>
    <t>#9</t>
  </si>
  <si>
    <t>#10</t>
  </si>
  <si>
    <t>#11</t>
  </si>
  <si>
    <t>#12</t>
  </si>
  <si>
    <t>#13</t>
  </si>
  <si>
    <t>#14</t>
  </si>
  <si>
    <t>#15</t>
  </si>
  <si>
    <t>#16</t>
  </si>
  <si>
    <t>#17</t>
  </si>
  <si>
    <t>#18</t>
  </si>
  <si>
    <t>#19</t>
  </si>
  <si>
    <t>#20</t>
  </si>
  <si>
    <t>Cabinetry Module</t>
  </si>
  <si>
    <t>Cabinetry Module Description</t>
  </si>
  <si>
    <t>Price ($)</t>
  </si>
  <si>
    <t>Additional shelf for lower storage 1/2" x 13-3/4"x 16-1/2"</t>
  </si>
  <si>
    <t>Additional shelf for lower storage 1/2" x 13-3/4" x 11-1/8" for (CM3)</t>
  </si>
  <si>
    <t>D-66CM Upgrade from HD Laiminate to LG Hausys HI-Macs solid surface top and sliding surfaces</t>
  </si>
  <si>
    <t>D-66CM-L Upgrade from HD Laiminate to Cambria Quartz surface top and sliding surfaces</t>
  </si>
  <si>
    <t>D-66CM-L Upgrade from HD Laiminate to LG Hausys HI-Macs solid surface top and sliding surfaces</t>
  </si>
  <si>
    <t>D-66CM Upgrade from HD Laiminate to Cambria Quartz surface top and sliding surfaces</t>
  </si>
  <si>
    <t>D-66CM-53 Upgrade from HD Laiminate to Cambria Quartz work surface top and sliding surfaces</t>
  </si>
  <si>
    <t>D-66CM-53 Upgrade from HD Laiminate to LG Hausys HI-Macs solid surface top and sliding surfaces</t>
  </si>
  <si>
    <t>D-66CM-DS Upgrade from HD Laiminate to Cambria Quartz work surface top and sliding surfaces</t>
  </si>
  <si>
    <t>D-66CM-DS Upgrade from HD Laiminate to LG Hausys HI-Macs surface top and sliding surfaces</t>
  </si>
  <si>
    <t>D-66CM-LS/RS Upgrade from HD Laiminate to LG Hausys HI-Macs surface top and sliding surfaces</t>
  </si>
  <si>
    <t>D-66CM-LS/RS Upgrade from HD Laiminate to HD Laminate to Cambria Quartz work surfaces and sliding surfaces</t>
  </si>
  <si>
    <t>Fan for Computer Vent</t>
  </si>
  <si>
    <t>Monitor arm for flat panel monitor</t>
  </si>
  <si>
    <t>Under cabinet left to right sliding flat panel PC montor mount</t>
  </si>
  <si>
    <t>5", and (2) doors</t>
  </si>
  <si>
    <t>5" false front, 7" and 9" drawers</t>
  </si>
  <si>
    <t>5", 3", 3", and 9" drawers</t>
  </si>
  <si>
    <t>5", 3", 3", AND 9" drawers</t>
  </si>
  <si>
    <t>5", 7" equip pull-out, 3" and 6" drawers</t>
  </si>
  <si>
    <t>Step 2: Delect Cabinetry Modules from Listing to Create your Customize Cabinetry</t>
  </si>
  <si>
    <t>Order Line Item</t>
  </si>
  <si>
    <t>Color Choice (Applies to Stools, Chairs, and Cabinetry)</t>
  </si>
  <si>
    <t>Custom</t>
  </si>
  <si>
    <t>Standard</t>
  </si>
  <si>
    <t>PVC Edge Colors (Applies only to Cabinetry)</t>
  </si>
  <si>
    <t>Work Surface Color Choice</t>
  </si>
  <si>
    <t>Option #1 Description (Please choose Cabinetry Work Surface Upgrade in Option #1)</t>
  </si>
  <si>
    <t>Glove/tissue dispenser on door</t>
  </si>
  <si>
    <t>Tapmaster kick pedal / cabinet door combination with manual faucet</t>
  </si>
  <si>
    <t>Stainless steel faucet / soap dispenser</t>
  </si>
  <si>
    <t>Undermount Solid Bowl (Solid Surface or Cambria)q</t>
  </si>
  <si>
    <t>Upgrade from HD laminate to LG Hausys HI-Macs solid surface.</t>
  </si>
  <si>
    <t>Upgrade from HD laminate to Cambria Quartz work surface.</t>
  </si>
  <si>
    <t>Task Lighting</t>
  </si>
  <si>
    <t>Sharps Disposal Hanger</t>
  </si>
  <si>
    <t>Stainless steel faucet/ soap dispenser</t>
  </si>
  <si>
    <t>Type of Upholstery (Chairs &amp; Stools) / Type of Finish (Cabinets)</t>
  </si>
  <si>
    <t xml:space="preserve">Style </t>
  </si>
  <si>
    <t>Chair UA Tester's Note Sheet</t>
  </si>
  <si>
    <t>Products</t>
  </si>
  <si>
    <t>Work Surface Color Choice (Cabinetry Only)</t>
  </si>
  <si>
    <t xml:space="preserve"> </t>
  </si>
  <si>
    <t>Occupied Cell</t>
  </si>
  <si>
    <t>Order Configuration for:</t>
  </si>
  <si>
    <t>8'</t>
  </si>
  <si>
    <t>8.5'</t>
  </si>
  <si>
    <t>9'</t>
  </si>
  <si>
    <t>9.5'</t>
  </si>
  <si>
    <t>10'</t>
  </si>
  <si>
    <t>Trim Kit 2" Wide</t>
  </si>
  <si>
    <t>Lead Laminated Doors</t>
  </si>
  <si>
    <t>Tapmaster Cabinet door activation</t>
  </si>
  <si>
    <t>Tapmaster Kick Pedal</t>
  </si>
  <si>
    <t>90-621</t>
  </si>
  <si>
    <t>Undermount Stainless Steel Bowl with solid surface</t>
  </si>
  <si>
    <t>90-620</t>
  </si>
  <si>
    <t>Undermount Solid Bowl with Solid Surface</t>
  </si>
  <si>
    <t>ECO-2L Upgrade from HD Laminate to LG Hi-Macs  Solid Surface</t>
  </si>
  <si>
    <t>ECO-2L</t>
  </si>
  <si>
    <t>90-960</t>
  </si>
  <si>
    <t>Replace Storage section with Slide out Barrier Drawer</t>
  </si>
  <si>
    <t>"</t>
  </si>
  <si>
    <t>Order Acknowledgment</t>
  </si>
  <si>
    <t>Order Number</t>
  </si>
  <si>
    <t>Order Date</t>
  </si>
  <si>
    <t>BELMONT Graphics Here</t>
  </si>
  <si>
    <t>SOLD TO:</t>
  </si>
  <si>
    <t>Who will your order be addressed to?</t>
  </si>
  <si>
    <t>What is the Street Address of the Dealer?</t>
  </si>
  <si>
    <t>What City Is the Dealer Located In?</t>
  </si>
  <si>
    <t>What State is the Dealer Located In?</t>
  </si>
  <si>
    <t>What Zipcode is the Dealer Located in?</t>
  </si>
  <si>
    <t>Accounts Payable</t>
  </si>
  <si>
    <t>PO Box 1288</t>
  </si>
  <si>
    <t>Melville</t>
  </si>
  <si>
    <t>NY</t>
  </si>
  <si>
    <t>What is the Dealer's Phone Number</t>
  </si>
  <si>
    <t>Are the Sold to: and Ship to: Addresses the same?</t>
  </si>
  <si>
    <t>yes</t>
  </si>
  <si>
    <t>no</t>
  </si>
  <si>
    <t>Customer's Order Number</t>
  </si>
  <si>
    <t>Ship Via</t>
  </si>
  <si>
    <t>Salesperson ID</t>
  </si>
  <si>
    <t>Terms</t>
  </si>
  <si>
    <t>SHIP TO:</t>
  </si>
  <si>
    <t>Site ID</t>
  </si>
  <si>
    <t>UOM</t>
  </si>
  <si>
    <t>Order</t>
  </si>
  <si>
    <t>Invoice</t>
  </si>
  <si>
    <t>B/O</t>
  </si>
  <si>
    <t>Cancel</t>
  </si>
  <si>
    <t>Unit Price</t>
  </si>
  <si>
    <t>Ext Price</t>
  </si>
  <si>
    <t>Merchandise Total</t>
  </si>
  <si>
    <t>Special Notes:</t>
  </si>
  <si>
    <t>Any special Instructions on the Order?</t>
  </si>
  <si>
    <t>Freight</t>
  </si>
  <si>
    <t>Miscellaneous</t>
  </si>
  <si>
    <t>Sales Tax</t>
  </si>
  <si>
    <t>Total</t>
  </si>
  <si>
    <t>Enter Installing Dealer's Customer Number</t>
  </si>
  <si>
    <t>Vin Raia</t>
  </si>
  <si>
    <t>Chris Bachus</t>
  </si>
  <si>
    <t>Kent Lloyd</t>
  </si>
  <si>
    <t>Bill Becker</t>
  </si>
  <si>
    <t>Jim Molloy</t>
  </si>
  <si>
    <t>Larry Hoyer</t>
  </si>
  <si>
    <t>Tom Laundon</t>
  </si>
  <si>
    <t>Larry Brock</t>
  </si>
  <si>
    <t>Art Brown</t>
  </si>
  <si>
    <t>Mike Harwood</t>
  </si>
  <si>
    <t>Alfredo Malagon</t>
  </si>
  <si>
    <t>Anthony Chan</t>
  </si>
  <si>
    <t>Wayne Watson</t>
  </si>
  <si>
    <t>Tim VanWychen</t>
  </si>
  <si>
    <t>Chad Leaver</t>
  </si>
  <si>
    <t>Mike Matuch</t>
  </si>
  <si>
    <t>What is the Street Address you're Shipping To:</t>
  </si>
  <si>
    <t>Bill To</t>
  </si>
  <si>
    <t>Ship To</t>
  </si>
  <si>
    <t>NJ</t>
  </si>
  <si>
    <t>What City Are you Shipping To?</t>
  </si>
  <si>
    <t>What State are you Shipping Tp?</t>
  </si>
  <si>
    <t>What Zipcode are you Shipping To?</t>
  </si>
  <si>
    <t>What is the Ship To Party's Phone Number</t>
  </si>
  <si>
    <t>F.O.B. Shipping Point</t>
  </si>
  <si>
    <t>THANK YOU FOR YOUR ORDER. Please review the order carefully and advise us in writing immediately if it is not correct in any detail.</t>
  </si>
  <si>
    <t xml:space="preserve">Notice: No returns will be accepted without prior written authorization. Overdue items subject to a 1% interest charge per month.                             </t>
  </si>
  <si>
    <t xml:space="preserve">            Please allow seven days for all personal checks to clear before order is released for shipment.</t>
  </si>
  <si>
    <t>Terms and conditions of order on reverse side.</t>
  </si>
  <si>
    <t>What is the name of the organization you're shipping to?</t>
  </si>
  <si>
    <r>
      <t xml:space="preserve">Model Code                 </t>
    </r>
    <r>
      <rPr>
        <i/>
        <sz val="16"/>
        <color theme="1"/>
        <rFont val="Cambria"/>
        <family val="1"/>
        <scheme val="major"/>
      </rPr>
      <t xml:space="preserve">                                                          Descriptions</t>
    </r>
  </si>
  <si>
    <t>Enter Estimated Ship Date</t>
  </si>
  <si>
    <t>Put Extra Packing Peanuts in the Boxes</t>
  </si>
  <si>
    <t>Enter Cust Rqt Date</t>
  </si>
  <si>
    <t>Enter Mark For?</t>
  </si>
  <si>
    <t>Customer's Order Number?</t>
  </si>
  <si>
    <t>Division of Takara Belmont USA, Inc.</t>
  </si>
  <si>
    <t>101 BELMONT DRIVE</t>
  </si>
  <si>
    <t>SOMERSET , NEW JERSEY 08873</t>
  </si>
  <si>
    <t>(732)469-5000</t>
  </si>
  <si>
    <t>www.belmontequip.com</t>
  </si>
  <si>
    <t>Payment Terms</t>
  </si>
  <si>
    <t>1% 10 NET 30</t>
  </si>
  <si>
    <t>Enter Ceiling Height at Location of Proposed Office*</t>
  </si>
  <si>
    <t>*Applies to Track and Ceiling Mounted Lights -Important only if Track or Post Mounted Lights are on the order</t>
  </si>
  <si>
    <t>Title Data</t>
  </si>
  <si>
    <t>?</t>
  </si>
  <si>
    <t>Technical</t>
  </si>
  <si>
    <t>Question</t>
  </si>
  <si>
    <t>Answer</t>
  </si>
  <si>
    <t>Section</t>
  </si>
  <si>
    <t>BELMONT EQUIPMENT -- Order Configuration App</t>
  </si>
  <si>
    <t>Quolis Light</t>
  </si>
  <si>
    <t>X</t>
  </si>
  <si>
    <t>Bel-Halo</t>
  </si>
  <si>
    <t>Are you Ordering Left or Right Handed Equipment?</t>
  </si>
  <si>
    <t>Left-Handed</t>
  </si>
  <si>
    <t>Right-Handed</t>
  </si>
  <si>
    <t>Ceiling / Track Mounted</t>
  </si>
  <si>
    <t>Mounting Kit Not Included</t>
  </si>
  <si>
    <t>x</t>
  </si>
  <si>
    <t>Clesta</t>
  </si>
  <si>
    <t>Eco-Sys</t>
  </si>
  <si>
    <t>X Means Incompatible</t>
  </si>
  <si>
    <t>Quolis</t>
  </si>
  <si>
    <t>X-Calibur</t>
  </si>
  <si>
    <t>ECO-Sys</t>
  </si>
  <si>
    <t>BELMONT EQUIPMENT</t>
  </si>
  <si>
    <t>SOMERSET</t>
  </si>
  <si>
    <t>08873-1204</t>
  </si>
  <si>
    <t>VAL/ROB/ROSE/MICHAEL</t>
  </si>
  <si>
    <t>1-800-223-1192</t>
  </si>
  <si>
    <t>732-356-1035</t>
  </si>
  <si>
    <t>Same Day</t>
  </si>
  <si>
    <t>Overnight</t>
  </si>
  <si>
    <t>Second Day</t>
  </si>
  <si>
    <t>Ground</t>
  </si>
  <si>
    <t>Customer Pickup</t>
  </si>
  <si>
    <t>PO#</t>
  </si>
  <si>
    <t>Date</t>
  </si>
  <si>
    <t>Due Date</t>
  </si>
  <si>
    <t>PURCHASE ORDER</t>
  </si>
  <si>
    <t>BILLING ADDRESS:</t>
  </si>
  <si>
    <t xml:space="preserve">From: </t>
  </si>
  <si>
    <t>Customer Service</t>
  </si>
  <si>
    <t xml:space="preserve">Vendor Acct #   </t>
  </si>
  <si>
    <t>(631)-843-5500</t>
  </si>
  <si>
    <t>Lawrence Joseph</t>
  </si>
  <si>
    <t>TECH- LEE GOSS</t>
  </si>
  <si>
    <t>South Shore Dental Group</t>
  </si>
  <si>
    <t>300 Granite Street</t>
  </si>
  <si>
    <t>Braintree</t>
  </si>
  <si>
    <t>MA</t>
  </si>
  <si>
    <t>02184-3957</t>
  </si>
  <si>
    <t>ITEM CODE</t>
  </si>
  <si>
    <t>VENDOR ITEM CODE</t>
  </si>
  <si>
    <t>QTY ORDERED</t>
  </si>
  <si>
    <t>SIZE</t>
  </si>
  <si>
    <t>DESCRIPTION</t>
  </si>
  <si>
    <t>UNIT PRICE</t>
  </si>
  <si>
    <t xml:space="preserve">EXT. PRICE     </t>
  </si>
  <si>
    <t>FREIGHT</t>
  </si>
  <si>
    <t>WN08132287</t>
  </si>
  <si>
    <t>ON08220132</t>
  </si>
  <si>
    <t>Source #:</t>
  </si>
  <si>
    <t>Requisition #:</t>
  </si>
  <si>
    <t>Comment Field</t>
  </si>
  <si>
    <t>ANY QUESTIONS PLEASE CALL JASMINE EXT 8699</t>
  </si>
  <si>
    <t>CONFIGURATION AND ORDER ACKNOWLEDGMENT</t>
  </si>
  <si>
    <t>Supplier Fax</t>
  </si>
  <si>
    <t>Supplier Phone</t>
  </si>
  <si>
    <t>Supplier Contacts</t>
  </si>
  <si>
    <t>Supplier Name</t>
  </si>
  <si>
    <t>Supplier Address</t>
  </si>
  <si>
    <t>City</t>
  </si>
  <si>
    <t>State</t>
  </si>
  <si>
    <t>Zipcode</t>
  </si>
  <si>
    <t>Dealer Contact Email</t>
  </si>
  <si>
    <t>Supplier</t>
  </si>
  <si>
    <t>Customer</t>
  </si>
  <si>
    <t>908-421-2486</t>
  </si>
  <si>
    <t>Means -not an available option for unit</t>
  </si>
  <si>
    <t>AL-901 (lt. grey)</t>
  </si>
  <si>
    <t xml:space="preserve">AL-901R (white) </t>
  </si>
  <si>
    <t>need ch adapter + 48" post</t>
  </si>
  <si>
    <t>need sus tube</t>
  </si>
  <si>
    <t>Needs BDS unit w/ lt mtg compat.</t>
  </si>
  <si>
    <t>incl. Quolis Light</t>
  </si>
  <si>
    <t>model incl. Bel-halo</t>
  </si>
  <si>
    <t>model incl. Clesta</t>
  </si>
  <si>
    <t>incl.</t>
  </si>
  <si>
    <t>0 means compatible</t>
  </si>
  <si>
    <t>z means requires special parts</t>
  </si>
  <si>
    <t>Blank means not applicable</t>
  </si>
  <si>
    <t xml:space="preserve">FOR QUOLIS CHAIR MOUNTING </t>
  </si>
  <si>
    <t>Explanation</t>
  </si>
  <si>
    <t>P/N</t>
  </si>
  <si>
    <t>P/N2 Desc</t>
  </si>
  <si>
    <t>Retail Price</t>
  </si>
  <si>
    <t>z</t>
  </si>
  <si>
    <t>OTP units require CAB5000 adapters to mount to Q-5000 chair</t>
  </si>
  <si>
    <t>AAFB95A0</t>
  </si>
  <si>
    <t>Hose cover for Adapter</t>
  </si>
  <si>
    <t xml:space="preserve">These cannot be chair mounted </t>
  </si>
  <si>
    <t>L/R Swg. units require BDS-SMB5000 adapters to mount to Q-5000 chair</t>
  </si>
  <si>
    <t>Item</t>
  </si>
  <si>
    <t>Req's&gt;&gt;</t>
  </si>
  <si>
    <t>Change Adapter for use with Q-5111</t>
  </si>
  <si>
    <t>1K w/ correct  SP.Adptr</t>
  </si>
  <si>
    <t/>
  </si>
  <si>
    <t>Mid Section Cut-out for BDS-2571</t>
  </si>
  <si>
    <t>Mid Section Control Box for BDS-2561</t>
  </si>
  <si>
    <t>Cut-Out for Analgesia</t>
  </si>
  <si>
    <t>Pass-Thru Upper Storage</t>
  </si>
  <si>
    <t>Vent Grills on Lower Door</t>
  </si>
  <si>
    <t>ECO-6 Upgrade from HD Laminate to LG Hausys HI-Macs solid surface top and sliding surface</t>
  </si>
  <si>
    <t>Stainless Steel Wrapped Toe-Kick</t>
  </si>
  <si>
    <t>Doctor's Control (Bottled Water System Only)</t>
  </si>
  <si>
    <t>Assistant's Vacuum Package (Water Bottle Not Included)</t>
  </si>
  <si>
    <t>Left-Right Assistant Instrumentation (Bottled Water System Only)</t>
  </si>
  <si>
    <t>Left-Right Assistant and Doctor Instrumentation (Bottled Water System Only)</t>
  </si>
  <si>
    <t>City Water System Kit for BDS-2561, 2563, 2564, 2541, 2543</t>
  </si>
  <si>
    <t>Additional HVE with Hose</t>
  </si>
  <si>
    <t>Wall mounted bottled water system for BDS-2571</t>
  </si>
  <si>
    <t>Bottled water system for vertical and horizontal mounting surfaces</t>
  </si>
  <si>
    <t>ECO-6L Upgrade from HD Laminate to LG Hausys HI-Macs solid surface top and sliding surface</t>
  </si>
  <si>
    <t>(2) Small Vent Grills on Storage Door</t>
  </si>
  <si>
    <t>Fully adjustable swivel arm LCD Monitor Mount</t>
  </si>
  <si>
    <t>2" Wire grommet for LCD Monitor</t>
  </si>
  <si>
    <t>Duplex Outlet Inside Cabinet (not wired)</t>
  </si>
  <si>
    <t>Stationary Base with no Casters</t>
  </si>
  <si>
    <t>Upgrade from HD laminate to LG Hausys Hi-Macs solid surface</t>
  </si>
  <si>
    <t>2 handpiece manual unit with clean water system and assistant's instruments (umbilical and J-Box not included)</t>
  </si>
  <si>
    <t>3 handpiece automatic unit with clean water system and assistant's instruments (umbilical and J-Box not included)</t>
  </si>
  <si>
    <t>Umbilical and J-Box for EDS Units Above</t>
  </si>
  <si>
    <t>Umbilical ONLY for EDS Units Above</t>
  </si>
  <si>
    <t>Additional Syringe Package for EDS Units Above</t>
  </si>
  <si>
    <t>Fully adjustable swivel arm LCD monitor mount</t>
  </si>
  <si>
    <t>2" Wire Grommet for LCD monitor</t>
  </si>
  <si>
    <t>Duplex Outley Inside Cabinet (not wired)</t>
  </si>
  <si>
    <t>UPS</t>
  </si>
  <si>
    <t>vrjrliny@optonline.com</t>
  </si>
  <si>
    <t>chrisbachus@gmail.com</t>
  </si>
  <si>
    <t>klloyd@takarabelmont.com</t>
  </si>
  <si>
    <t>wgpbecker@msn.com</t>
  </si>
  <si>
    <t>jamesjmolloy@gmail.com</t>
  </si>
  <si>
    <t>Lchoyer@comcast.net</t>
  </si>
  <si>
    <t>Tlaundon@takarabelmont.com</t>
  </si>
  <si>
    <t>L_Brock@msn.com</t>
  </si>
  <si>
    <t>art5691@sbcglobal.com</t>
  </si>
  <si>
    <t>mikehardwood58@icloud.com</t>
  </si>
  <si>
    <t>fldentaldude@gmail.com</t>
  </si>
  <si>
    <t>achan@takarabelmont.com</t>
  </si>
  <si>
    <t>wawatson@charter.net</t>
  </si>
  <si>
    <t>vanwychen@hotmail.com</t>
  </si>
  <si>
    <t>chad.leaver@gmail.com</t>
  </si>
  <si>
    <t>michaelmatuch@yahoo.com</t>
  </si>
  <si>
    <t>Additional HP holder (active) with 4-hole straight asepsis tubing and Midwest style connector. Note 4 active holders maximum per unit. 5000 chair.</t>
  </si>
  <si>
    <t>Additional HP holder (inactive)</t>
  </si>
  <si>
    <t>Fiber-optic assembly with 6-pin connector, silicone tubing, instead of standard air turbine hose.</t>
  </si>
  <si>
    <t>Ultrasonic scaler with light, Belmont DA-150SL, instead of standard air turbine hose</t>
  </si>
  <si>
    <t>Micromotor, Belmont DA-700E, instead of standard air turbine hose</t>
  </si>
  <si>
    <t>Micromotor, Second, Belmont DA-700E instead of standard air turbine hose</t>
  </si>
  <si>
    <t>Micromotor, Bien Air MX, instead of standard air turbine hose</t>
  </si>
  <si>
    <t>Micromotor, Second, Bien Air MX, instead of standard air turbine hose</t>
  </si>
  <si>
    <t>Curing light, Satelec Mini LED, without inactive QDU0029 holder (Requires option QDU0002)</t>
  </si>
  <si>
    <t>Docking station DOCK MU-USB2 and prewired cord only for Sopro 717 Intra-oral camera only. (Does not include camera.) Not available with additional umbilical.</t>
  </si>
  <si>
    <t>Sopro 717 Intra-oral camera handpiece only, without docking station</t>
  </si>
  <si>
    <t>City water system components including water utility and city/ bottle routing valve</t>
  </si>
  <si>
    <t>Additional HVE (Note: QDU0011 and QDU0049 cannot be ordered for the same unit)</t>
  </si>
  <si>
    <t>Curing Light , Satelec Mini LED on assistant instrument holder (Note: QDU0011 and QDU0049 cannot be ordered for the same unit. Select only one of the two.)</t>
  </si>
  <si>
    <t>Vacuum drain valve with automatic drain flush for cuspidor linked with bowl flush, and manual drain toggle for cuspidor.</t>
  </si>
  <si>
    <t>City / bottle routing valve only , to be added to water bottle</t>
  </si>
  <si>
    <t xml:space="preserve">One foot of additional umbilical </t>
  </si>
  <si>
    <t>Green Background Cell Formatting indicates that the selection is applicable to the equipment category</t>
  </si>
  <si>
    <t>Gray Background Cell Formatting indicates that the selection is inapplicable to the equipment category</t>
  </si>
  <si>
    <t>Option #1</t>
  </si>
  <si>
    <t>Additional Handpiece (4th H.P.)</t>
  </si>
  <si>
    <t>Delete 1 Syringe (specify Dr. or Assist. Side)</t>
  </si>
  <si>
    <t>Straight Light Post w/ bushing for Belmont Clesta and ECO-Sys Post Mounted Lights</t>
  </si>
  <si>
    <t>Straight Light Post w/ Ritter style bushing</t>
  </si>
  <si>
    <t>Assistant Short Arm (Replaces Telescoping Arm)</t>
  </si>
  <si>
    <t>8" Post Extension for Mounting Trays (No light on Unit)</t>
  </si>
  <si>
    <t>Single HP, 6-Pin Fiber Optic System (Factory Installed)</t>
  </si>
  <si>
    <t>2 HP, 6-Pin Fiber Option System (Factory Installed)</t>
  </si>
  <si>
    <t>Clesta Light on a Curved Post (Includes Curved Post)</t>
  </si>
  <si>
    <t>One foot of additional umbilical  for Units w/ BDS-2535 Clesta Light</t>
  </si>
  <si>
    <t>Bel-Halo LED Light on a Curved Post (Includes Curved Post)</t>
  </si>
  <si>
    <t>One foot of additional umbilical for Units w/ BDS-2536 Bel-Halo LED Light</t>
  </si>
  <si>
    <t>Compatible Operatory Equipment(COE)</t>
  </si>
  <si>
    <t>Tri-State</t>
  </si>
  <si>
    <t>Drop Down List Data by Model</t>
  </si>
  <si>
    <t>Cabinets</t>
  </si>
  <si>
    <t>D-Series</t>
  </si>
  <si>
    <t>E-Series</t>
  </si>
  <si>
    <t>ECO-Series</t>
  </si>
  <si>
    <t>Koken PLUS</t>
  </si>
  <si>
    <t>For Cabinet Mounting Lights (Bel-Halo AL-907, Clesta AL-517N)</t>
  </si>
  <si>
    <t xml:space="preserve">For Mounting Units to Cabinetry , </t>
  </si>
  <si>
    <t>BDS-2561, BDS-2563, BDS-2564, BDS-2571</t>
  </si>
  <si>
    <t>EDS-5062V EDS-5063V</t>
  </si>
  <si>
    <t>need ch adapter + 48" post (For Chairs) and BDS0012 (for BDS-2500 to BDS-2515) +  FHAA03A0 for BDS-2520</t>
  </si>
  <si>
    <t>Req' Ceiling Height</t>
  </si>
  <si>
    <t>2 HP, 6-Pin Fiber Optic System (Factory Installed)</t>
  </si>
  <si>
    <t>Additional Umbilical</t>
  </si>
  <si>
    <t>BDS-UMB2575</t>
  </si>
  <si>
    <t>Additional Umbilical (1' per qty ordered)</t>
  </si>
  <si>
    <t>Junction Box (Complete)</t>
  </si>
  <si>
    <t>Field Installation Kit for connecting BDS-0020 &amp; BDS-0050 Vac-Pacs to EDS-0570, EDS-0575, EDS-0579, EDS-0770, EDS-0775, and EDS-0779 bottled water systems</t>
  </si>
  <si>
    <t>Additional Umbilical (For units w/ BDS-2530 Clesta Light- 1' per qty ordered)</t>
  </si>
  <si>
    <t>Flat Panel Monitor Mount</t>
  </si>
  <si>
    <t>Single HP, 6-Pin Fiber Optic System (Field Installation Kit)</t>
  </si>
  <si>
    <t>2 HP, 6-Pin Fiber Optic System (Field Installation Kit)</t>
  </si>
  <si>
    <t>Wall Mount Board (Surf Color Laminate)</t>
  </si>
  <si>
    <t>Covered Storage Oragnizers with Rack</t>
  </si>
  <si>
    <t>Tray Arm with Tray Holder</t>
  </si>
  <si>
    <t>Stainless Steel Tray and Non-Slip Pad</t>
  </si>
  <si>
    <t>J-Box Cover &amp; Frame</t>
  </si>
  <si>
    <t>Mounting Kit Not Included for Cabinet Mount- on E-Series; (92-200H Factory 92-201H Field Install)  on D-Series; (91-200H Factory and 91-201H for Field Install)</t>
  </si>
  <si>
    <t>Additional Handpiece  (4th H.P.)</t>
  </si>
  <si>
    <t>Delete 1 Syringe</t>
  </si>
  <si>
    <t>Additional Umbilical  (1' per qty ordered)</t>
  </si>
  <si>
    <t>Wall Mount Board</t>
  </si>
  <si>
    <t>City Water System Kit for BDS-2561, 2563, 2564, 2541, 2543.</t>
  </si>
  <si>
    <t>Bottled Water System for mounting to vertical surfaces and underneath worksurface</t>
  </si>
  <si>
    <t>Delete Assistant Arm and Assistant Instrumentation</t>
  </si>
  <si>
    <t>Additional Umbilical 1' per qty ordered (For units w/ BDS-2536 Bel-Halo LED Light)</t>
  </si>
  <si>
    <t>Additional HVE and Holder</t>
  </si>
  <si>
    <t>Light Post Base Assembly (Required for mounting EDS0012/13, BDS-2535 and BDS-2536 onto BDS-2520</t>
  </si>
  <si>
    <t>Add Assistant Syringe and Holder</t>
  </si>
  <si>
    <t>Telescoping Arm and Mounting Clamp</t>
  </si>
  <si>
    <t>Additional Umbilical 1' per quantity ordered</t>
  </si>
  <si>
    <t>City / Bottled Water Selector Kit for EDS Units w/ Cuspidor (Field Installation Kit)</t>
  </si>
  <si>
    <t>City / Bottled Water Selector Kit for EDS Left/Right Swing and Non-Cuspidor Units (Field Installation Kit)</t>
  </si>
  <si>
    <t>E40000131</t>
  </si>
  <si>
    <t>Swivel Tray Holder</t>
  </si>
  <si>
    <t>Additional Umbilical per Foot</t>
  </si>
  <si>
    <t>City / Bottled Water Selector Kit for EDS Left / Right Swing and Non-Cuspidor Units (Field Installation Kit)</t>
  </si>
  <si>
    <t>Kit for connecting EDS Water System to BDS-0020 and BDS-0050 Vac Pacs</t>
  </si>
  <si>
    <t>Adapter for Monitor Mount (For Mounting FPMM to 2" O.D. Post)</t>
  </si>
  <si>
    <t>City / Bottled Water Selector Kit for EDS Units with Cuspidor (Field Installation Kit)</t>
  </si>
  <si>
    <t>Additional Umbilical (1' per Qty Ordered)</t>
  </si>
  <si>
    <t>EDSUMB0610</t>
  </si>
  <si>
    <t>EDSUMB0675</t>
  </si>
  <si>
    <t>Add Assistant Syringe &amp; Holder</t>
  </si>
  <si>
    <t>Track</t>
  </si>
  <si>
    <t>Ceiling</t>
  </si>
  <si>
    <t>Wall</t>
  </si>
  <si>
    <t>Halo Lite for Quolis</t>
  </si>
  <si>
    <t>Enter Purchasing Customer's Phone Number</t>
  </si>
  <si>
    <t>732-560-9112</t>
  </si>
  <si>
    <t>For Cabinet Mounting</t>
  </si>
  <si>
    <t>Wall Mounted</t>
  </si>
  <si>
    <t>B-20</t>
  </si>
  <si>
    <t>B-20+</t>
  </si>
  <si>
    <t>jasmine@henryschein.com</t>
  </si>
  <si>
    <t>AL</t>
  </si>
  <si>
    <t>AK</t>
  </si>
  <si>
    <t>AZ</t>
  </si>
  <si>
    <t>AR</t>
  </si>
  <si>
    <t>CA</t>
  </si>
  <si>
    <t>CO</t>
  </si>
  <si>
    <t>CT</t>
  </si>
  <si>
    <t>DE</t>
  </si>
  <si>
    <t>FL</t>
  </si>
  <si>
    <t>GA</t>
  </si>
  <si>
    <t>HI</t>
  </si>
  <si>
    <t>ID</t>
  </si>
  <si>
    <t>IL</t>
  </si>
  <si>
    <t>IN</t>
  </si>
  <si>
    <t>IA</t>
  </si>
  <si>
    <t>KS</t>
  </si>
  <si>
    <t>KY</t>
  </si>
  <si>
    <t>LA</t>
  </si>
  <si>
    <t>ME</t>
  </si>
  <si>
    <t>MD</t>
  </si>
  <si>
    <t>MI</t>
  </si>
  <si>
    <t>MN</t>
  </si>
  <si>
    <t>MS</t>
  </si>
  <si>
    <t>MO</t>
  </si>
  <si>
    <t>MT</t>
  </si>
  <si>
    <t>NE</t>
  </si>
  <si>
    <t>NV</t>
  </si>
  <si>
    <t>NH</t>
  </si>
  <si>
    <t>NM</t>
  </si>
  <si>
    <t>NC</t>
  </si>
  <si>
    <t>ND</t>
  </si>
  <si>
    <t>OH</t>
  </si>
  <si>
    <t>OK</t>
  </si>
  <si>
    <t>OR</t>
  </si>
  <si>
    <t>PA</t>
  </si>
  <si>
    <t>RI</t>
  </si>
  <si>
    <t>SC</t>
  </si>
  <si>
    <t>SD</t>
  </si>
  <si>
    <t>TN</t>
  </si>
  <si>
    <t>TX</t>
  </si>
  <si>
    <t>UT</t>
  </si>
  <si>
    <t>VT</t>
  </si>
  <si>
    <t>VA</t>
  </si>
  <si>
    <t>WA</t>
  </si>
  <si>
    <t>WV</t>
  </si>
  <si>
    <t>WI</t>
  </si>
  <si>
    <t>WY</t>
  </si>
  <si>
    <t>Shipping Method / Timeframe</t>
  </si>
  <si>
    <t>F</t>
  </si>
  <si>
    <t>Front Swingarm Type Restrictions</t>
  </si>
  <si>
    <t>A</t>
  </si>
  <si>
    <t>C</t>
  </si>
  <si>
    <t>E</t>
  </si>
  <si>
    <t>Rear Swingarm</t>
  </si>
  <si>
    <t>Over the Patient</t>
  </si>
  <si>
    <t>Over The Patient</t>
  </si>
  <si>
    <t>Swing Type</t>
  </si>
  <si>
    <t>Model</t>
  </si>
  <si>
    <t>Front Swingarm Connecting Units</t>
  </si>
  <si>
    <r>
      <rPr>
        <b/>
        <u/>
        <sz val="24"/>
        <color theme="0"/>
        <rFont val="Cambria"/>
        <family val="1"/>
        <scheme val="major"/>
      </rPr>
      <t>Bel</t>
    </r>
    <r>
      <rPr>
        <b/>
        <sz val="24"/>
        <color theme="0"/>
        <rFont val="Cambria"/>
        <family val="1"/>
        <scheme val="major"/>
      </rPr>
      <t xml:space="preserve">mont Equipment </t>
    </r>
    <r>
      <rPr>
        <b/>
        <u/>
        <sz val="24"/>
        <color theme="0"/>
        <rFont val="Cambria"/>
        <family val="1"/>
        <scheme val="major"/>
      </rPr>
      <t>D</t>
    </r>
    <r>
      <rPr>
        <b/>
        <sz val="24"/>
        <color theme="0"/>
        <rFont val="Cambria"/>
        <family val="1"/>
        <scheme val="major"/>
      </rPr>
      <t xml:space="preserve">ental </t>
    </r>
    <r>
      <rPr>
        <b/>
        <u/>
        <sz val="24"/>
        <color theme="0"/>
        <rFont val="Cambria"/>
        <family val="1"/>
        <scheme val="major"/>
      </rPr>
      <t>O</t>
    </r>
    <r>
      <rPr>
        <b/>
        <sz val="24"/>
        <color theme="0"/>
        <rFont val="Cambria"/>
        <family val="1"/>
        <scheme val="major"/>
      </rPr>
      <t xml:space="preserve">rder </t>
    </r>
    <r>
      <rPr>
        <b/>
        <u/>
        <sz val="24"/>
        <color theme="0"/>
        <rFont val="Cambria"/>
        <family val="1"/>
        <scheme val="major"/>
      </rPr>
      <t>C</t>
    </r>
    <r>
      <rPr>
        <b/>
        <sz val="24"/>
        <color theme="0"/>
        <rFont val="Cambria"/>
        <family val="1"/>
        <scheme val="major"/>
      </rPr>
      <t>onfiguration App (Bel-DOC)</t>
    </r>
  </si>
  <si>
    <t>Dr. John Carter</t>
  </si>
  <si>
    <t>Taylor Swift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</si>
</sst>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0.000%"/>
    <numFmt numFmtId="165" formatCode="#,##0.0"/>
    <numFmt numFmtId="166" formatCode="&quot;$&quot;#,##0"/>
    <numFmt numFmtId="167" formatCode="_(&quot;$&quot;* #,##0_);_(&quot;$&quot;* \(#,##0\);_(&quot;$&quot;* &quot;-&quot;??_);_(@_)"/>
    <numFmt numFmtId="168" formatCode="_(* #,##0_);_(* \(#,##0\);_(* &quot;-&quot;??_);_(@_)"/>
    <numFmt numFmtId="169" formatCode="00000"/>
  </numFmts>
  <fonts count="106">
    <font>
      <sz val="11"/>
      <color theme="1"/>
      <name val="Calibri"/>
      <family val="2"/>
      <scheme val="minor"/>
    </font>
    <font>
      <sz val="11"/>
      <color indexed="8"/>
      <name val="Calibri"/>
      <family val="2"/>
    </font>
    <font>
      <b/>
      <u/>
      <sz val="12"/>
      <color indexed="8"/>
      <name val="Calibri"/>
      <family val="2"/>
    </font>
    <font>
      <sz val="8"/>
      <name val="Verdana"/>
      <family val="2"/>
    </font>
    <font>
      <sz val="11"/>
      <color theme="1"/>
      <name val="Calibri"/>
      <family val="2"/>
      <scheme val="minor"/>
    </font>
    <font>
      <sz val="11"/>
      <color rgb="FF9C0006"/>
      <name val="Calibri"/>
      <family val="2"/>
      <scheme val="minor"/>
    </font>
    <font>
      <sz val="9"/>
      <color theme="1"/>
      <name val="Calibri"/>
      <family val="2"/>
      <scheme val="minor"/>
    </font>
    <font>
      <sz val="9"/>
      <color rgb="FF00B050"/>
      <name val="Calibri"/>
      <family val="2"/>
      <scheme val="minor"/>
    </font>
    <font>
      <sz val="10"/>
      <name val="Arial"/>
      <family val="2"/>
    </font>
    <font>
      <b/>
      <sz val="12"/>
      <name val="Arial"/>
      <family val="2"/>
    </font>
    <font>
      <sz val="14"/>
      <color theme="1"/>
      <name val="Calibri"/>
      <family val="2"/>
      <scheme val="minor"/>
    </font>
    <font>
      <b/>
      <sz val="9"/>
      <name val="Arial"/>
      <family val="2"/>
    </font>
    <font>
      <sz val="9"/>
      <name val="Arial"/>
      <family val="2"/>
    </font>
    <font>
      <b/>
      <i/>
      <sz val="9"/>
      <name val="Arial"/>
      <family val="2"/>
    </font>
    <font>
      <b/>
      <sz val="9"/>
      <color rgb="FFFF0000"/>
      <name val="Calibri"/>
      <family val="2"/>
      <scheme val="minor"/>
    </font>
    <font>
      <i/>
      <sz val="9"/>
      <name val="Arial"/>
      <family val="2"/>
    </font>
    <font>
      <sz val="9"/>
      <color rgb="FFFF0000"/>
      <name val="Calibri"/>
      <family val="2"/>
      <scheme val="minor"/>
    </font>
    <font>
      <sz val="9"/>
      <name val="Calibri"/>
      <family val="2"/>
      <scheme val="minor"/>
    </font>
    <font>
      <b/>
      <sz val="9"/>
      <name val="Calibri"/>
      <family val="2"/>
      <scheme val="minor"/>
    </font>
    <font>
      <sz val="9"/>
      <color rgb="FF00B050"/>
      <name val="Arial"/>
      <family val="2"/>
    </font>
    <font>
      <sz val="11"/>
      <name val="Arial"/>
      <family val="2"/>
    </font>
    <font>
      <sz val="9"/>
      <color theme="0"/>
      <name val="Calibri"/>
      <family val="2"/>
      <scheme val="minor"/>
    </font>
    <font>
      <b/>
      <sz val="9"/>
      <color theme="4" tint="-0.249977111117893"/>
      <name val="Arial"/>
      <family val="2"/>
    </font>
    <font>
      <vertAlign val="superscript"/>
      <sz val="9"/>
      <name val="Arial"/>
      <family val="2"/>
    </font>
    <font>
      <b/>
      <sz val="11"/>
      <color theme="4" tint="-0.249977111117893"/>
      <name val="Calibri"/>
      <family val="2"/>
      <scheme val="minor"/>
    </font>
    <font>
      <sz val="9"/>
      <color theme="1"/>
      <name val="Arial"/>
      <family val="2"/>
    </font>
    <font>
      <sz val="9"/>
      <name val="Calibri"/>
      <family val="2"/>
    </font>
    <font>
      <sz val="9"/>
      <color theme="1"/>
      <name val="Calibri"/>
      <family val="2"/>
    </font>
    <font>
      <b/>
      <sz val="9"/>
      <color theme="1"/>
      <name val="Arial"/>
      <family val="2"/>
    </font>
    <font>
      <sz val="12"/>
      <color indexed="8"/>
      <name val="Cambria"/>
      <family val="1"/>
      <scheme val="major"/>
    </font>
    <font>
      <sz val="12"/>
      <color theme="1"/>
      <name val="Cambria"/>
      <family val="1"/>
      <scheme val="major"/>
    </font>
    <font>
      <b/>
      <sz val="11"/>
      <color theme="1"/>
      <name val="Calibri"/>
      <family val="2"/>
      <scheme val="minor"/>
    </font>
    <font>
      <i/>
      <sz val="11"/>
      <color theme="1"/>
      <name val="Calibri"/>
      <family val="2"/>
      <scheme val="minor"/>
    </font>
    <font>
      <sz val="8"/>
      <color rgb="FF000000"/>
      <name val="Tahoma"/>
      <family val="2"/>
    </font>
    <font>
      <b/>
      <sz val="12"/>
      <color indexed="8"/>
      <name val="Calibri"/>
      <family val="2"/>
    </font>
    <font>
      <sz val="9"/>
      <color indexed="81"/>
      <name val="Tahoma"/>
      <family val="2"/>
    </font>
    <font>
      <b/>
      <sz val="9"/>
      <color indexed="81"/>
      <name val="Tahoma"/>
      <family val="2"/>
    </font>
    <font>
      <sz val="12"/>
      <color indexed="8"/>
      <name val="Calibri"/>
      <family val="2"/>
    </font>
    <font>
      <b/>
      <sz val="12"/>
      <color indexed="8"/>
      <name val="Cambria"/>
      <family val="1"/>
      <scheme val="major"/>
    </font>
    <font>
      <b/>
      <sz val="12"/>
      <color theme="0"/>
      <name val="Cambria"/>
      <family val="1"/>
      <scheme val="major"/>
    </font>
    <font>
      <b/>
      <i/>
      <sz val="12"/>
      <color indexed="8"/>
      <name val="Cambria"/>
      <family val="1"/>
      <scheme val="major"/>
    </font>
    <font>
      <b/>
      <i/>
      <sz val="12"/>
      <color indexed="10"/>
      <name val="Cambria"/>
      <family val="1"/>
      <scheme val="major"/>
    </font>
    <font>
      <b/>
      <sz val="12"/>
      <color indexed="10"/>
      <name val="Cambria"/>
      <family val="1"/>
      <scheme val="major"/>
    </font>
    <font>
      <sz val="14"/>
      <color rgb="FF000000"/>
      <name val="Cambria"/>
      <family val="1"/>
    </font>
    <font>
      <b/>
      <sz val="12"/>
      <color indexed="81"/>
      <name val="Cambria"/>
      <family val="1"/>
      <scheme val="major"/>
    </font>
    <font>
      <sz val="12"/>
      <color indexed="81"/>
      <name val="Cambria"/>
      <family val="1"/>
      <scheme val="major"/>
    </font>
    <font>
      <b/>
      <sz val="24"/>
      <color theme="0"/>
      <name val="Cambria"/>
      <family val="1"/>
      <scheme val="major"/>
    </font>
    <font>
      <sz val="16"/>
      <color indexed="8"/>
      <name val="Cambria"/>
      <family val="1"/>
      <scheme val="major"/>
    </font>
    <font>
      <sz val="16"/>
      <color theme="1"/>
      <name val="Cambria"/>
      <family val="1"/>
      <scheme val="major"/>
    </font>
    <font>
      <b/>
      <sz val="16"/>
      <color indexed="8"/>
      <name val="Cambria"/>
      <family val="1"/>
      <scheme val="major"/>
    </font>
    <font>
      <sz val="12"/>
      <color theme="0" tint="-4.9989318521683403E-2"/>
      <name val="Cambria"/>
      <family val="1"/>
      <scheme val="major"/>
    </font>
    <font>
      <sz val="16"/>
      <color theme="0" tint="-4.9989318521683403E-2"/>
      <name val="Cambria"/>
      <family val="1"/>
      <scheme val="major"/>
    </font>
    <font>
      <b/>
      <sz val="14"/>
      <color indexed="81"/>
      <name val="Cambria"/>
      <family val="1"/>
      <scheme val="major"/>
    </font>
    <font>
      <sz val="14"/>
      <color indexed="81"/>
      <name val="Cambria"/>
      <family val="1"/>
      <scheme val="major"/>
    </font>
    <font>
      <sz val="14"/>
      <color theme="1"/>
      <name val="Cambria"/>
      <family val="1"/>
      <scheme val="major"/>
    </font>
    <font>
      <sz val="11"/>
      <color theme="1"/>
      <name val="Cambria"/>
      <family val="1"/>
      <scheme val="major"/>
    </font>
    <font>
      <i/>
      <sz val="16"/>
      <color theme="1"/>
      <name val="Cambria"/>
      <family val="1"/>
      <scheme val="major"/>
    </font>
    <font>
      <sz val="18"/>
      <color theme="1"/>
      <name val="Cambria"/>
      <family val="1"/>
      <scheme val="major"/>
    </font>
    <font>
      <b/>
      <sz val="24"/>
      <color theme="1"/>
      <name val="Cambria"/>
      <family val="1"/>
      <scheme val="major"/>
    </font>
    <font>
      <b/>
      <sz val="16"/>
      <color theme="1"/>
      <name val="Cambria"/>
      <family val="1"/>
      <scheme val="major"/>
    </font>
    <font>
      <sz val="16"/>
      <color theme="1"/>
      <name val="Calibri"/>
      <family val="2"/>
      <scheme val="minor"/>
    </font>
    <font>
      <sz val="16"/>
      <color theme="0"/>
      <name val="Cambria"/>
      <family val="1"/>
      <scheme val="major"/>
    </font>
    <font>
      <b/>
      <sz val="18"/>
      <color theme="1"/>
      <name val="Cambria"/>
      <family val="1"/>
      <scheme val="major"/>
    </font>
    <font>
      <sz val="20"/>
      <color theme="1"/>
      <name val="Cambria"/>
      <family val="1"/>
      <scheme val="major"/>
    </font>
    <font>
      <sz val="24"/>
      <color theme="1"/>
      <name val="Cambria"/>
      <family val="1"/>
      <scheme val="major"/>
    </font>
    <font>
      <sz val="18"/>
      <color theme="1"/>
      <name val="Batang"/>
      <family val="1"/>
    </font>
    <font>
      <sz val="18.5"/>
      <color theme="1"/>
      <name val="Cambria"/>
      <family val="1"/>
      <scheme val="major"/>
    </font>
    <font>
      <b/>
      <sz val="18.5"/>
      <color theme="1"/>
      <name val="Cambria"/>
      <family val="1"/>
      <scheme val="major"/>
    </font>
    <font>
      <sz val="11"/>
      <color theme="0"/>
      <name val="Eras Medium ITC"/>
      <family val="2"/>
    </font>
    <font>
      <sz val="11"/>
      <color theme="1"/>
      <name val="Eras Medium ITC"/>
      <family val="2"/>
    </font>
    <font>
      <sz val="16"/>
      <color theme="1"/>
      <name val="Eras Medium ITC"/>
      <family val="2"/>
    </font>
    <font>
      <b/>
      <sz val="12"/>
      <color theme="4" tint="0.39997558519241921"/>
      <name val="Cambria"/>
      <family val="1"/>
      <scheme val="major"/>
    </font>
    <font>
      <sz val="14"/>
      <color theme="4" tint="0.39997558519241921"/>
      <name val="Cambria"/>
      <family val="1"/>
      <scheme val="major"/>
    </font>
    <font>
      <b/>
      <u/>
      <sz val="14"/>
      <color theme="4" tint="0.39997558519241921"/>
      <name val="Cambria"/>
      <family val="1"/>
      <scheme val="major"/>
    </font>
    <font>
      <i/>
      <sz val="14"/>
      <color theme="4" tint="0.39997558519241921"/>
      <name val="Cambria"/>
      <family val="1"/>
      <scheme val="major"/>
    </font>
    <font>
      <sz val="12"/>
      <color theme="4" tint="0.39997558519241921"/>
      <name val="Cambria"/>
      <family val="1"/>
      <scheme val="major"/>
    </font>
    <font>
      <b/>
      <sz val="12"/>
      <name val="Cambria"/>
      <family val="1"/>
      <scheme val="major"/>
    </font>
    <font>
      <sz val="14"/>
      <name val="Cambria"/>
      <family val="1"/>
      <scheme val="major"/>
    </font>
    <font>
      <b/>
      <u/>
      <sz val="14"/>
      <name val="Cambria"/>
      <family val="1"/>
      <scheme val="major"/>
    </font>
    <font>
      <i/>
      <sz val="12"/>
      <name val="Cambria"/>
      <family val="1"/>
      <scheme val="major"/>
    </font>
    <font>
      <sz val="12"/>
      <color rgb="FF000000"/>
      <name val="Cambria"/>
      <family val="1"/>
    </font>
    <font>
      <u/>
      <sz val="11"/>
      <color theme="10"/>
      <name val="Calibri"/>
      <family val="2"/>
      <scheme val="minor"/>
    </font>
    <font>
      <sz val="22"/>
      <color theme="1"/>
      <name val="Cambria"/>
      <family val="1"/>
      <scheme val="major"/>
    </font>
    <font>
      <sz val="26"/>
      <color theme="1"/>
      <name val="Cambria"/>
      <family val="1"/>
      <scheme val="major"/>
    </font>
    <font>
      <sz val="28"/>
      <color theme="1"/>
      <name val="Cambria"/>
      <family val="1"/>
      <scheme val="major"/>
    </font>
    <font>
      <sz val="48"/>
      <color theme="1"/>
      <name val="Cambria"/>
      <family val="1"/>
      <scheme val="major"/>
    </font>
    <font>
      <b/>
      <sz val="26"/>
      <color theme="1"/>
      <name val="Cambria"/>
      <family val="1"/>
      <scheme val="major"/>
    </font>
    <font>
      <sz val="26"/>
      <color theme="0"/>
      <name val="Cambria"/>
      <family val="1"/>
      <scheme val="major"/>
    </font>
    <font>
      <sz val="28"/>
      <color theme="0"/>
      <name val="Cambria"/>
      <family val="1"/>
      <scheme val="major"/>
    </font>
    <font>
      <sz val="30"/>
      <color theme="1"/>
      <name val="Cambria"/>
      <family val="1"/>
      <scheme val="major"/>
    </font>
    <font>
      <sz val="32"/>
      <color theme="1"/>
      <name val="Cambria"/>
      <family val="1"/>
      <scheme val="major"/>
    </font>
    <font>
      <sz val="35"/>
      <color theme="1"/>
      <name val="Cambria"/>
      <family val="1"/>
      <scheme val="major"/>
    </font>
    <font>
      <b/>
      <sz val="35"/>
      <color theme="1"/>
      <name val="Cambria"/>
      <family val="1"/>
      <scheme val="major"/>
    </font>
    <font>
      <sz val="11"/>
      <color rgb="FFFF0000"/>
      <name val="Calibri"/>
      <family val="2"/>
      <scheme val="minor"/>
    </font>
    <font>
      <b/>
      <sz val="16"/>
      <color theme="4" tint="0.39997558519241921"/>
      <name val="Cambria"/>
      <family val="1"/>
      <scheme val="major"/>
    </font>
    <font>
      <b/>
      <i/>
      <sz val="16"/>
      <color indexed="10"/>
      <name val="Cambria"/>
      <family val="1"/>
      <scheme val="major"/>
    </font>
    <font>
      <b/>
      <sz val="16"/>
      <color indexed="10"/>
      <name val="Cambria"/>
      <family val="1"/>
      <scheme val="major"/>
    </font>
    <font>
      <sz val="11"/>
      <name val="Calibri"/>
      <family val="2"/>
      <scheme val="minor"/>
    </font>
    <font>
      <sz val="12"/>
      <color rgb="FFFF0000"/>
      <name val="Calibri"/>
      <family val="2"/>
      <scheme val="minor"/>
    </font>
    <font>
      <sz val="10"/>
      <color rgb="FFFF0000"/>
      <name val="Arial"/>
      <family val="2"/>
    </font>
    <font>
      <b/>
      <sz val="16"/>
      <color indexed="81"/>
      <name val="Cambria"/>
      <family val="1"/>
      <scheme val="major"/>
    </font>
    <font>
      <sz val="16"/>
      <color indexed="81"/>
      <name val="Cambria"/>
      <family val="1"/>
      <scheme val="major"/>
    </font>
    <font>
      <sz val="13"/>
      <color rgb="FF000000"/>
      <name val="Cambria"/>
      <family val="1"/>
    </font>
    <font>
      <sz val="14"/>
      <color theme="1"/>
      <name val="Eras Medium ITC"/>
      <family val="2"/>
    </font>
    <font>
      <sz val="11"/>
      <color rgb="FF000000"/>
      <name val="Calibri"/>
      <family val="2"/>
    </font>
    <font>
      <b/>
      <u/>
      <sz val="24"/>
      <color theme="0"/>
      <name val="Cambria"/>
      <family val="1"/>
      <scheme val="major"/>
    </font>
  </fonts>
  <fills count="39">
    <fill>
      <patternFill patternType="none"/>
    </fill>
    <fill>
      <patternFill patternType="gray125"/>
    </fill>
    <fill>
      <patternFill patternType="solid">
        <fgColor rgb="FFFFFF99"/>
        <bgColor indexed="64"/>
      </patternFill>
    </fill>
    <fill>
      <patternFill patternType="solid">
        <fgColor indexed="48"/>
        <bgColor indexed="64"/>
      </patternFill>
    </fill>
    <fill>
      <patternFill patternType="solid">
        <fgColor theme="4" tint="0.59999389629810485"/>
        <bgColor indexed="64"/>
      </patternFill>
    </fill>
    <fill>
      <patternFill patternType="solid">
        <fgColor indexed="57"/>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FFFFCC"/>
        <bgColor indexed="64"/>
      </patternFill>
    </fill>
    <fill>
      <patternFill patternType="solid">
        <fgColor rgb="FFFFFF66"/>
        <bgColor indexed="64"/>
      </patternFill>
    </fill>
    <fill>
      <patternFill patternType="solid">
        <fgColor rgb="FF7030A0"/>
        <bgColor indexed="64"/>
      </patternFill>
    </fill>
    <fill>
      <patternFill patternType="solid">
        <fgColor rgb="FFFFFF00"/>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rgb="FFFFDC6D"/>
        <bgColor indexed="64"/>
      </patternFill>
    </fill>
    <fill>
      <patternFill patternType="solid">
        <fgColor rgb="FFFFC000"/>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indexed="16"/>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rgb="FFFF9999"/>
        <bgColor indexed="64"/>
      </patternFill>
    </fill>
    <fill>
      <patternFill patternType="solid">
        <fgColor rgb="FFCFDDBD"/>
        <bgColor indexed="64"/>
      </patternFill>
    </fill>
    <fill>
      <patternFill patternType="solid">
        <fgColor rgb="FFC00000"/>
        <bgColor indexed="64"/>
      </patternFill>
    </fill>
    <fill>
      <patternFill patternType="solid">
        <fgColor theme="0"/>
        <bgColor indexed="64"/>
      </patternFill>
    </fill>
    <fill>
      <patternFill patternType="solid">
        <fgColor theme="1"/>
        <bgColor indexed="64"/>
      </patternFill>
    </fill>
    <fill>
      <patternFill patternType="solid">
        <fgColor theme="9" tint="0.599963377788628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39994506668294322"/>
        <bgColor indexed="64"/>
      </patternFill>
    </fill>
    <fill>
      <gradientFill degree="270">
        <stop position="0">
          <color theme="0"/>
        </stop>
        <stop position="1">
          <color theme="8" tint="0.80001220740379042"/>
        </stop>
      </gradientFill>
    </fill>
    <fill>
      <gradientFill degree="90">
        <stop position="0">
          <color theme="9" tint="0.80001220740379042"/>
        </stop>
        <stop position="1">
          <color theme="0"/>
        </stop>
      </gradientFill>
    </fill>
    <fill>
      <patternFill patternType="solid">
        <fgColor theme="1" tint="0.34998626667073579"/>
        <bgColor indexed="64"/>
      </patternFill>
    </fill>
    <fill>
      <patternFill patternType="solid">
        <fgColor rgb="FFFF0000"/>
        <bgColor indexed="64"/>
      </patternFill>
    </fill>
    <fill>
      <patternFill patternType="solid">
        <fgColor rgb="FF92D050"/>
        <bgColor indexed="64"/>
      </patternFill>
    </fill>
    <fill>
      <patternFill patternType="solid">
        <fgColor theme="9" tint="0.59999389629810485"/>
        <bgColor indexed="64"/>
      </patternFill>
    </fill>
  </fills>
  <borders count="88">
    <border>
      <left/>
      <right/>
      <top/>
      <bottom/>
      <diagonal/>
    </border>
    <border>
      <left style="thin">
        <color auto="1"/>
      </left>
      <right style="thin">
        <color auto="1"/>
      </right>
      <top style="thin">
        <color auto="1"/>
      </top>
      <bottom style="thin">
        <color auto="1"/>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auto="1"/>
      </right>
      <top/>
      <bottom style="thin">
        <color indexed="64"/>
      </bottom>
      <diagonal/>
    </border>
    <border>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medium">
        <color indexed="64"/>
      </top>
      <bottom style="hair">
        <color indexed="64"/>
      </bottom>
      <diagonal/>
    </border>
    <border>
      <left style="thin">
        <color indexed="64"/>
      </left>
      <right style="hair">
        <color indexed="64"/>
      </right>
      <top/>
      <bottom style="hair">
        <color indexed="64"/>
      </bottom>
      <diagonal/>
    </border>
    <border>
      <left style="hair">
        <color indexed="64"/>
      </left>
      <right style="thin">
        <color auto="1"/>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tted">
        <color indexed="64"/>
      </left>
      <right style="thin">
        <color indexed="64"/>
      </right>
      <top style="medium">
        <color indexed="64"/>
      </top>
      <bottom/>
      <diagonal/>
    </border>
    <border>
      <left style="dashed">
        <color indexed="64"/>
      </left>
      <right style="thin">
        <color indexed="64"/>
      </right>
      <top style="medium">
        <color indexed="64"/>
      </top>
      <bottom style="medium">
        <color indexed="64"/>
      </bottom>
      <diagonal/>
    </border>
    <border>
      <left style="thick">
        <color theme="3" tint="0.39994506668294322"/>
      </left>
      <right/>
      <top style="thick">
        <color theme="3" tint="0.39994506668294322"/>
      </top>
      <bottom style="thick">
        <color theme="3" tint="0.39994506668294322"/>
      </bottom>
      <diagonal/>
    </border>
    <border>
      <left/>
      <right/>
      <top style="thick">
        <color theme="3" tint="0.39994506668294322"/>
      </top>
      <bottom style="thick">
        <color theme="3" tint="0.39994506668294322"/>
      </bottom>
      <diagonal/>
    </border>
    <border>
      <left/>
      <right style="thick">
        <color theme="3" tint="0.39994506668294322"/>
      </right>
      <top style="thick">
        <color theme="3" tint="0.39994506668294322"/>
      </top>
      <bottom style="thick">
        <color theme="3" tint="0.39994506668294322"/>
      </bottom>
      <diagonal/>
    </border>
    <border>
      <left/>
      <right style="thin">
        <color indexed="64"/>
      </right>
      <top style="thin">
        <color indexed="64"/>
      </top>
      <bottom/>
      <diagonal/>
    </border>
    <border>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right style="thick">
        <color indexed="64"/>
      </right>
      <top/>
      <bottom style="thick">
        <color indexed="64"/>
      </bottom>
      <diagonal/>
    </border>
    <border>
      <left/>
      <right/>
      <top/>
      <bottom style="thick">
        <color indexed="64"/>
      </bottom>
      <diagonal/>
    </border>
    <border>
      <left/>
      <right/>
      <top/>
      <bottom style="dashDotDot">
        <color theme="0" tint="-0.34998626667073579"/>
      </bottom>
      <diagonal/>
    </border>
    <border>
      <left/>
      <right style="thin">
        <color indexed="64"/>
      </right>
      <top/>
      <bottom style="dashDotDot">
        <color theme="0" tint="-0.34998626667073579"/>
      </bottom>
      <diagonal/>
    </border>
    <border>
      <left style="thin">
        <color indexed="64"/>
      </left>
      <right/>
      <top/>
      <bottom style="dashDotDot">
        <color theme="0" tint="-0.34998626667073579"/>
      </bottom>
      <diagonal/>
    </border>
    <border>
      <left/>
      <right/>
      <top style="dashDotDot">
        <color theme="0" tint="-0.34998626667073579"/>
      </top>
      <bottom style="dashDotDot">
        <color theme="0" tint="-0.34998626667073579"/>
      </bottom>
      <diagonal/>
    </border>
    <border>
      <left/>
      <right style="thin">
        <color indexed="64"/>
      </right>
      <top style="dashDotDot">
        <color theme="0" tint="-0.34998626667073579"/>
      </top>
      <bottom style="dashDotDot">
        <color theme="0" tint="-0.34998626667073579"/>
      </bottom>
      <diagonal/>
    </border>
    <border>
      <left style="thin">
        <color indexed="64"/>
      </left>
      <right/>
      <top style="dashDotDot">
        <color theme="0" tint="-0.34998626667073579"/>
      </top>
      <bottom style="dashDotDot">
        <color theme="0" tint="-0.34998626667073579"/>
      </bottom>
      <diagonal/>
    </border>
    <border>
      <left/>
      <right/>
      <top style="dashDotDot">
        <color theme="0" tint="-0.34998626667073579"/>
      </top>
      <bottom style="thin">
        <color auto="1"/>
      </bottom>
      <diagonal/>
    </border>
    <border>
      <left style="thin">
        <color indexed="64"/>
      </left>
      <right style="dashed">
        <color indexed="64"/>
      </right>
      <top style="thin">
        <color indexed="64"/>
      </top>
      <bottom/>
      <diagonal/>
    </border>
    <border>
      <left style="thin">
        <color indexed="64"/>
      </left>
      <right style="dashed">
        <color indexed="64"/>
      </right>
      <top/>
      <bottom/>
      <diagonal/>
    </border>
    <border>
      <left style="thin">
        <color indexed="64"/>
      </left>
      <right style="dashed">
        <color indexed="64"/>
      </right>
      <top/>
      <bottom style="thin">
        <color indexed="64"/>
      </bottom>
      <diagonal/>
    </border>
    <border>
      <left style="thin">
        <color indexed="64"/>
      </left>
      <right/>
      <top style="dashed">
        <color indexed="64"/>
      </top>
      <bottom style="dashed">
        <color indexed="64"/>
      </bottom>
      <diagonal/>
    </border>
    <border>
      <left style="thin">
        <color indexed="64"/>
      </left>
      <right style="dashed">
        <color indexed="64"/>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medium">
        <color rgb="FFFFFF00"/>
      </left>
      <right style="medium">
        <color rgb="FFFFFF00"/>
      </right>
      <top style="medium">
        <color rgb="FFFFFF00"/>
      </top>
      <bottom style="medium">
        <color rgb="FFFFFF00"/>
      </bottom>
      <diagonal/>
    </border>
    <border>
      <left style="thin">
        <color indexed="64"/>
      </left>
      <right style="thin">
        <color indexed="64"/>
      </right>
      <top style="medium">
        <color rgb="FFFFFF00"/>
      </top>
      <bottom/>
      <diagonal/>
    </border>
    <border>
      <left style="medium">
        <color indexed="64"/>
      </left>
      <right style="thin">
        <color indexed="64"/>
      </right>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auto="1"/>
      </left>
      <right style="thin">
        <color auto="1"/>
      </right>
      <top style="dashed">
        <color auto="1"/>
      </top>
      <bottom style="dashed">
        <color auto="1"/>
      </bottom>
      <diagonal/>
    </border>
    <border>
      <left/>
      <right/>
      <top/>
      <bottom style="hair">
        <color indexed="64"/>
      </bottom>
      <diagonal/>
    </border>
    <border>
      <left/>
      <right style="thin">
        <color indexed="64"/>
      </right>
      <top style="hair">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hair">
        <color indexed="64"/>
      </top>
      <bottom style="thin">
        <color indexed="64"/>
      </bottom>
      <diagonal/>
    </border>
    <border>
      <left style="medium">
        <color rgb="FFFFFF00"/>
      </left>
      <right style="medium">
        <color rgb="FFFFFF00"/>
      </right>
      <top style="medium">
        <color rgb="FFFFFF00"/>
      </top>
      <bottom/>
      <diagonal/>
    </border>
    <border>
      <left style="dashed">
        <color indexed="64"/>
      </left>
      <right style="thin">
        <color auto="1"/>
      </right>
      <top/>
      <bottom style="thin">
        <color indexed="64"/>
      </bottom>
      <diagonal/>
    </border>
    <border>
      <left style="dashed">
        <color indexed="64"/>
      </left>
      <right style="thin">
        <color auto="1"/>
      </right>
      <top/>
      <bottom/>
      <diagonal/>
    </border>
    <border>
      <left style="thin">
        <color indexed="64"/>
      </left>
      <right style="thin">
        <color indexed="64"/>
      </right>
      <top style="medium">
        <color indexed="64"/>
      </top>
      <bottom/>
      <diagonal/>
    </border>
    <border>
      <left/>
      <right style="medium">
        <color indexed="64"/>
      </right>
      <top/>
      <bottom style="medium">
        <color indexed="64"/>
      </bottom>
      <diagonal/>
    </border>
    <border>
      <left style="thin">
        <color auto="1"/>
      </left>
      <right/>
      <top/>
      <bottom style="hair">
        <color auto="1"/>
      </bottom>
      <diagonal/>
    </border>
    <border>
      <left style="thin">
        <color auto="1"/>
      </left>
      <right/>
      <top style="hair">
        <color auto="1"/>
      </top>
      <bottom style="hair">
        <color auto="1"/>
      </bottom>
      <diagonal/>
    </border>
    <border>
      <left style="thin">
        <color auto="1"/>
      </left>
      <right/>
      <top style="hair">
        <color auto="1"/>
      </top>
      <bottom/>
      <diagonal/>
    </border>
    <border>
      <left/>
      <right/>
      <top style="hair">
        <color auto="1"/>
      </top>
      <bottom/>
      <diagonal/>
    </border>
    <border>
      <left/>
      <right/>
      <top style="hair">
        <color theme="0" tint="-0.14996795556505021"/>
      </top>
      <bottom/>
      <diagonal/>
    </border>
  </borders>
  <cellStyleXfs count="9">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xf numFmtId="9" fontId="4" fillId="0" borderId="0" applyFont="0" applyFill="0" applyBorder="0" applyAlignment="0" applyProtection="0"/>
    <xf numFmtId="0" fontId="8" fillId="0" borderId="0"/>
    <xf numFmtId="0" fontId="8" fillId="0" borderId="0"/>
    <xf numFmtId="43" fontId="4" fillId="0" borderId="0" applyFont="0" applyFill="0" applyBorder="0" applyAlignment="0" applyProtection="0"/>
    <xf numFmtId="0" fontId="81" fillId="0" borderId="0" applyNumberFormat="0" applyFill="0" applyBorder="0" applyAlignment="0" applyProtection="0"/>
  </cellStyleXfs>
  <cellXfs count="664">
    <xf numFmtId="0" fontId="0" fillId="0" borderId="0" xfId="0"/>
    <xf numFmtId="0" fontId="6" fillId="0" borderId="0" xfId="0" applyFont="1" applyAlignment="1" applyProtection="1">
      <alignment vertical="center"/>
      <protection locked="0"/>
    </xf>
    <xf numFmtId="0" fontId="6" fillId="0" borderId="0" xfId="0" applyFont="1" applyAlignment="1" applyProtection="1">
      <alignment horizontal="left" vertical="center" wrapText="1"/>
      <protection locked="0"/>
    </xf>
    <xf numFmtId="8" fontId="6" fillId="0" borderId="0" xfId="0" applyNumberFormat="1" applyFont="1" applyAlignment="1" applyProtection="1">
      <alignment horizontal="left" vertical="center" wrapText="1"/>
      <protection locked="0"/>
    </xf>
    <xf numFmtId="1" fontId="7" fillId="0" borderId="2" xfId="0" applyNumberFormat="1" applyFont="1" applyBorder="1" applyAlignment="1" applyProtection="1">
      <alignment horizontal="left" vertical="center" wrapText="1"/>
      <protection locked="0"/>
    </xf>
    <xf numFmtId="0" fontId="6" fillId="0" borderId="0" xfId="0" applyFont="1" applyBorder="1" applyAlignment="1" applyProtection="1">
      <alignment horizontal="left" vertical="center" wrapText="1"/>
      <protection locked="0"/>
    </xf>
    <xf numFmtId="0" fontId="0" fillId="0" borderId="0" xfId="0" applyFont="1" applyBorder="1" applyAlignment="1" applyProtection="1">
      <alignment horizontal="left" vertical="center" wrapText="1"/>
      <protection locked="0"/>
    </xf>
    <xf numFmtId="8" fontId="9" fillId="2" borderId="1" xfId="3" applyNumberFormat="1" applyFont="1" applyFill="1" applyBorder="1" applyAlignment="1" applyProtection="1">
      <alignment horizontal="left" vertical="center" wrapText="1"/>
      <protection locked="0"/>
    </xf>
    <xf numFmtId="0" fontId="10" fillId="0" borderId="2"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1" fillId="3" borderId="1" xfId="3" applyFont="1" applyFill="1" applyBorder="1" applyAlignment="1" applyProtection="1">
      <alignment vertical="center" wrapText="1"/>
      <protection locked="0"/>
    </xf>
    <xf numFmtId="0" fontId="12" fillId="0" borderId="1" xfId="3" applyFont="1" applyFill="1" applyBorder="1" applyAlignment="1" applyProtection="1">
      <alignment vertical="center" wrapText="1"/>
      <protection locked="0"/>
    </xf>
    <xf numFmtId="8" fontId="12" fillId="0" borderId="1" xfId="3" applyNumberFormat="1" applyFont="1" applyFill="1" applyBorder="1" applyAlignment="1" applyProtection="1">
      <alignment vertical="center" wrapText="1"/>
      <protection locked="0"/>
    </xf>
    <xf numFmtId="164" fontId="6" fillId="0" borderId="0" xfId="4" applyNumberFormat="1" applyFont="1" applyAlignment="1" applyProtection="1">
      <alignment vertical="center"/>
      <protection locked="0"/>
    </xf>
    <xf numFmtId="0" fontId="0" fillId="0" borderId="0" xfId="0" applyFont="1" applyBorder="1" applyAlignment="1" applyProtection="1">
      <alignment vertical="center"/>
      <protection locked="0"/>
    </xf>
    <xf numFmtId="0" fontId="12" fillId="0" borderId="4" xfId="3" applyFont="1" applyFill="1" applyBorder="1" applyAlignment="1" applyProtection="1">
      <alignment vertical="center" wrapText="1"/>
      <protection locked="0"/>
    </xf>
    <xf numFmtId="9" fontId="14" fillId="0" borderId="0" xfId="0" applyNumberFormat="1" applyFont="1" applyFill="1" applyBorder="1" applyAlignment="1" applyProtection="1">
      <alignment horizontal="center" vertical="center"/>
      <protection locked="0"/>
    </xf>
    <xf numFmtId="49" fontId="11" fillId="4" borderId="1" xfId="3" applyNumberFormat="1" applyFont="1" applyFill="1" applyBorder="1" applyAlignment="1" applyProtection="1">
      <alignment vertical="center" wrapText="1"/>
      <protection locked="0"/>
    </xf>
    <xf numFmtId="0" fontId="16" fillId="0" borderId="0" xfId="0" applyFont="1" applyAlignment="1" applyProtection="1">
      <alignment vertical="center"/>
      <protection locked="0"/>
    </xf>
    <xf numFmtId="0" fontId="11" fillId="5" borderId="1" xfId="3" applyFont="1" applyFill="1" applyBorder="1" applyAlignment="1" applyProtection="1">
      <alignment vertical="center" wrapText="1"/>
      <protection locked="0"/>
    </xf>
    <xf numFmtId="0" fontId="6" fillId="0" borderId="0" xfId="0" applyFont="1" applyFill="1" applyAlignment="1" applyProtection="1">
      <alignment vertical="center"/>
      <protection locked="0"/>
    </xf>
    <xf numFmtId="0" fontId="0" fillId="0" borderId="0" xfId="0" applyFont="1" applyFill="1" applyBorder="1" applyAlignment="1" applyProtection="1">
      <alignment vertical="center"/>
      <protection locked="0"/>
    </xf>
    <xf numFmtId="14" fontId="6" fillId="0" borderId="0" xfId="0" applyNumberFormat="1" applyFont="1" applyFill="1" applyAlignment="1" applyProtection="1">
      <alignment vertical="center"/>
      <protection locked="0"/>
    </xf>
    <xf numFmtId="0" fontId="11" fillId="5" borderId="1" xfId="3" applyFont="1" applyFill="1" applyBorder="1" applyAlignment="1" applyProtection="1">
      <alignment horizontal="left" vertical="center" wrapText="1"/>
      <protection locked="0"/>
    </xf>
    <xf numFmtId="0" fontId="6" fillId="0" borderId="0" xfId="0" applyFont="1" applyFill="1" applyAlignment="1" applyProtection="1">
      <alignment vertical="center" wrapText="1"/>
      <protection locked="0"/>
    </xf>
    <xf numFmtId="0" fontId="11" fillId="6" borderId="1" xfId="3" applyFont="1" applyFill="1" applyBorder="1" applyAlignment="1" applyProtection="1">
      <alignment vertical="center" wrapText="1"/>
      <protection locked="0"/>
    </xf>
    <xf numFmtId="0" fontId="11" fillId="7" borderId="1" xfId="3" applyFont="1" applyFill="1" applyBorder="1" applyAlignment="1" applyProtection="1">
      <alignment vertical="center" wrapText="1"/>
      <protection locked="0"/>
    </xf>
    <xf numFmtId="0" fontId="11" fillId="7" borderId="1" xfId="3" applyFont="1" applyFill="1" applyBorder="1" applyAlignment="1" applyProtection="1">
      <alignment horizontal="left" vertical="center" wrapText="1"/>
      <protection locked="0"/>
    </xf>
    <xf numFmtId="0" fontId="6" fillId="0" borderId="0" xfId="0" applyFont="1" applyBorder="1" applyAlignment="1" applyProtection="1">
      <alignment vertical="center"/>
      <protection locked="0"/>
    </xf>
    <xf numFmtId="0" fontId="11" fillId="8" borderId="1" xfId="3" applyFont="1" applyFill="1" applyBorder="1" applyAlignment="1" applyProtection="1">
      <alignment vertical="center" wrapText="1"/>
      <protection locked="0"/>
    </xf>
    <xf numFmtId="0" fontId="17" fillId="0" borderId="0" xfId="0" applyFont="1" applyFill="1" applyAlignment="1" applyProtection="1">
      <alignment vertical="center"/>
      <protection locked="0"/>
    </xf>
    <xf numFmtId="0" fontId="11" fillId="9" borderId="1" xfId="3" applyFont="1" applyFill="1" applyBorder="1" applyAlignment="1" applyProtection="1">
      <alignment vertical="center" wrapText="1"/>
      <protection locked="0"/>
    </xf>
    <xf numFmtId="0" fontId="12" fillId="0" borderId="5" xfId="3" applyFont="1" applyFill="1" applyBorder="1" applyAlignment="1" applyProtection="1">
      <alignment vertical="center" wrapText="1"/>
      <protection locked="0"/>
    </xf>
    <xf numFmtId="0" fontId="11" fillId="12" borderId="1" xfId="3" applyFont="1" applyFill="1" applyBorder="1" applyAlignment="1" applyProtection="1">
      <alignment vertical="center" wrapText="1"/>
      <protection locked="0"/>
    </xf>
    <xf numFmtId="0" fontId="12" fillId="0" borderId="8" xfId="3" applyFont="1" applyFill="1" applyBorder="1" applyAlignment="1" applyProtection="1">
      <alignment vertical="center" wrapText="1"/>
      <protection locked="0"/>
    </xf>
    <xf numFmtId="0" fontId="12" fillId="0" borderId="7" xfId="3" applyFont="1" applyFill="1" applyBorder="1" applyAlignment="1" applyProtection="1">
      <alignment vertical="center" wrapText="1"/>
      <protection locked="0"/>
    </xf>
    <xf numFmtId="0" fontId="11" fillId="14" borderId="1" xfId="3" applyFont="1" applyFill="1" applyBorder="1" applyAlignment="1" applyProtection="1">
      <alignment vertical="center" wrapText="1"/>
      <protection locked="0"/>
    </xf>
    <xf numFmtId="0" fontId="11" fillId="15" borderId="1" xfId="3" applyFont="1" applyFill="1" applyBorder="1" applyAlignment="1" applyProtection="1">
      <alignment vertical="center" wrapText="1"/>
      <protection locked="0"/>
    </xf>
    <xf numFmtId="0" fontId="6" fillId="0" borderId="2" xfId="0" applyFont="1" applyBorder="1" applyAlignment="1" applyProtection="1">
      <alignment vertical="center"/>
      <protection locked="0"/>
    </xf>
    <xf numFmtId="0" fontId="11" fillId="16" borderId="1" xfId="3" applyFont="1" applyFill="1" applyBorder="1" applyAlignment="1" applyProtection="1">
      <alignment vertical="center" wrapText="1"/>
      <protection locked="0"/>
    </xf>
    <xf numFmtId="0" fontId="6" fillId="0" borderId="0" xfId="0" applyFont="1" applyFill="1" applyBorder="1" applyAlignment="1" applyProtection="1">
      <alignment vertical="center"/>
      <protection locked="0"/>
    </xf>
    <xf numFmtId="0" fontId="12" fillId="17" borderId="1" xfId="3" applyFont="1" applyFill="1" applyBorder="1" applyAlignment="1" applyProtection="1">
      <alignment vertical="center" wrapText="1"/>
      <protection locked="0"/>
    </xf>
    <xf numFmtId="0" fontId="12" fillId="0" borderId="0" xfId="3" applyFont="1" applyFill="1" applyBorder="1" applyAlignment="1" applyProtection="1">
      <alignment vertical="center" wrapText="1"/>
      <protection locked="0"/>
    </xf>
    <xf numFmtId="0" fontId="11" fillId="18" borderId="1" xfId="3" applyFont="1" applyFill="1" applyBorder="1" applyAlignment="1" applyProtection="1">
      <alignment vertical="center" wrapText="1"/>
      <protection locked="0"/>
    </xf>
    <xf numFmtId="8" fontId="19" fillId="0" borderId="1" xfId="3" applyNumberFormat="1" applyFont="1" applyFill="1" applyBorder="1" applyAlignment="1" applyProtection="1">
      <alignment vertical="center" wrapText="1"/>
      <protection locked="0"/>
    </xf>
    <xf numFmtId="8" fontId="12" fillId="11" borderId="1" xfId="3" applyNumberFormat="1" applyFont="1" applyFill="1" applyBorder="1" applyAlignment="1" applyProtection="1">
      <alignment vertical="center" wrapText="1"/>
      <protection locked="0"/>
    </xf>
    <xf numFmtId="0" fontId="20" fillId="0" borderId="0" xfId="3" applyFont="1" applyFill="1" applyBorder="1" applyAlignment="1" applyProtection="1">
      <alignment vertical="center" wrapText="1"/>
      <protection locked="0"/>
    </xf>
    <xf numFmtId="0" fontId="11" fillId="0" borderId="1" xfId="3" applyFont="1" applyFill="1" applyBorder="1" applyAlignment="1" applyProtection="1">
      <alignment vertical="center" wrapText="1"/>
      <protection locked="0"/>
    </xf>
    <xf numFmtId="0" fontId="11" fillId="19" borderId="1" xfId="3" applyFont="1" applyFill="1" applyBorder="1" applyAlignment="1" applyProtection="1">
      <alignment horizontal="left" vertical="center" wrapText="1"/>
      <protection locked="0"/>
    </xf>
    <xf numFmtId="0" fontId="12" fillId="0" borderId="1" xfId="3" applyFont="1" applyBorder="1" applyAlignment="1" applyProtection="1">
      <alignment horizontal="left" vertical="center"/>
      <protection locked="0"/>
    </xf>
    <xf numFmtId="0" fontId="12" fillId="0" borderId="1" xfId="3" applyFont="1" applyBorder="1" applyAlignment="1" applyProtection="1">
      <alignment horizontal="center" vertical="center" wrapText="1"/>
      <protection locked="0"/>
    </xf>
    <xf numFmtId="49" fontId="12" fillId="0" borderId="1" xfId="3" applyNumberFormat="1" applyFont="1" applyFill="1" applyBorder="1" applyAlignment="1" applyProtection="1">
      <alignment vertical="center" wrapText="1"/>
      <protection locked="0"/>
    </xf>
    <xf numFmtId="0" fontId="14" fillId="0" borderId="13" xfId="0" applyFont="1" applyFill="1" applyBorder="1" applyAlignment="1" applyProtection="1">
      <alignment horizontal="center" vertical="center" wrapText="1"/>
      <protection locked="0"/>
    </xf>
    <xf numFmtId="0" fontId="0" fillId="0" borderId="1" xfId="0" applyFont="1" applyBorder="1" applyAlignment="1" applyProtection="1">
      <alignment vertical="center"/>
      <protection locked="0"/>
    </xf>
    <xf numFmtId="0" fontId="0" fillId="0" borderId="0" xfId="0" applyFill="1" applyBorder="1" applyAlignment="1" applyProtection="1">
      <alignment vertical="center"/>
      <protection locked="0"/>
    </xf>
    <xf numFmtId="9" fontId="14" fillId="0" borderId="13" xfId="0" applyNumberFormat="1" applyFont="1" applyFill="1" applyBorder="1" applyAlignment="1" applyProtection="1">
      <alignment horizontal="center" vertical="center"/>
      <protection locked="0"/>
    </xf>
    <xf numFmtId="0" fontId="0" fillId="0" borderId="0" xfId="0" applyFont="1" applyBorder="1" applyAlignment="1" applyProtection="1">
      <alignment vertical="center" wrapText="1"/>
      <protection locked="0"/>
    </xf>
    <xf numFmtId="0" fontId="12" fillId="0" borderId="1" xfId="3" applyFont="1" applyFill="1" applyBorder="1" applyAlignment="1" applyProtection="1">
      <alignment vertical="top" wrapText="1"/>
      <protection locked="0"/>
    </xf>
    <xf numFmtId="0" fontId="12" fillId="0" borderId="1" xfId="3" applyFont="1" applyFill="1" applyBorder="1" applyAlignment="1" applyProtection="1">
      <alignment wrapText="1"/>
      <protection locked="0"/>
    </xf>
    <xf numFmtId="2" fontId="6" fillId="0" borderId="0" xfId="0" applyNumberFormat="1" applyFont="1" applyBorder="1" applyAlignment="1" applyProtection="1">
      <alignment horizontal="left" vertical="center"/>
      <protection locked="0"/>
    </xf>
    <xf numFmtId="2" fontId="6" fillId="0" borderId="0" xfId="0" applyNumberFormat="1" applyFont="1" applyFill="1" applyBorder="1" applyAlignment="1" applyProtection="1">
      <alignment horizontal="left" vertical="center"/>
      <protection locked="0"/>
    </xf>
    <xf numFmtId="2" fontId="7" fillId="0" borderId="0" xfId="0" applyNumberFormat="1" applyFont="1" applyBorder="1" applyAlignment="1" applyProtection="1">
      <alignment horizontal="left" vertical="center"/>
      <protection locked="0"/>
    </xf>
    <xf numFmtId="0" fontId="7" fillId="0" borderId="0" xfId="0" applyFont="1" applyAlignment="1" applyProtection="1">
      <alignment vertical="center"/>
      <protection locked="0"/>
    </xf>
    <xf numFmtId="164" fontId="7" fillId="0" borderId="0" xfId="4" applyNumberFormat="1" applyFont="1" applyAlignment="1" applyProtection="1">
      <alignment vertical="center"/>
      <protection locked="0"/>
    </xf>
    <xf numFmtId="0" fontId="12" fillId="0" borderId="1" xfId="5" applyFont="1" applyFill="1" applyBorder="1" applyAlignment="1" applyProtection="1">
      <alignment vertical="center" wrapText="1"/>
      <protection locked="0"/>
    </xf>
    <xf numFmtId="16" fontId="6" fillId="0" borderId="0" xfId="0" applyNumberFormat="1" applyFont="1" applyAlignment="1" applyProtection="1">
      <alignment vertical="center"/>
      <protection locked="0"/>
    </xf>
    <xf numFmtId="2" fontId="16" fillId="0" borderId="0" xfId="0" applyNumberFormat="1" applyFont="1" applyBorder="1" applyAlignment="1" applyProtection="1">
      <alignment horizontal="left" vertical="center"/>
      <protection locked="0"/>
    </xf>
    <xf numFmtId="8" fontId="25" fillId="0" borderId="1" xfId="3" applyNumberFormat="1" applyFont="1" applyFill="1" applyBorder="1" applyAlignment="1" applyProtection="1">
      <alignment vertical="center" wrapText="1"/>
      <protection locked="0"/>
    </xf>
    <xf numFmtId="49" fontId="25" fillId="0" borderId="1" xfId="3" applyNumberFormat="1" applyFont="1" applyFill="1" applyBorder="1" applyAlignment="1" applyProtection="1">
      <alignment vertical="center" wrapText="1"/>
      <protection locked="0"/>
    </xf>
    <xf numFmtId="0" fontId="25" fillId="0" borderId="1" xfId="3" applyFont="1" applyFill="1" applyBorder="1" applyAlignment="1" applyProtection="1">
      <alignment vertical="center" wrapText="1"/>
      <protection locked="0"/>
    </xf>
    <xf numFmtId="0" fontId="25" fillId="0" borderId="1" xfId="5" applyFont="1" applyFill="1" applyBorder="1" applyAlignment="1" applyProtection="1">
      <alignment vertical="center" wrapText="1"/>
      <protection locked="0"/>
    </xf>
    <xf numFmtId="0" fontId="7" fillId="0" borderId="0" xfId="0" applyFont="1" applyFill="1" applyAlignment="1" applyProtection="1">
      <alignment vertical="center"/>
      <protection locked="0"/>
    </xf>
    <xf numFmtId="49" fontId="25" fillId="0" borderId="1" xfId="5" applyNumberFormat="1" applyFont="1" applyFill="1" applyBorder="1" applyAlignment="1" applyProtection="1">
      <alignment vertical="center" wrapText="1"/>
      <protection locked="0"/>
    </xf>
    <xf numFmtId="49" fontId="12" fillId="0" borderId="1" xfId="5" applyNumberFormat="1" applyFont="1" applyFill="1" applyBorder="1" applyAlignment="1" applyProtection="1">
      <alignment vertical="center" wrapText="1"/>
      <protection locked="0"/>
    </xf>
    <xf numFmtId="8" fontId="22" fillId="0" borderId="1" xfId="5" applyNumberFormat="1" applyFont="1" applyFill="1" applyBorder="1" applyAlignment="1" applyProtection="1">
      <alignment horizontal="right" vertical="center" wrapText="1"/>
      <protection locked="0"/>
    </xf>
    <xf numFmtId="0" fontId="19" fillId="0" borderId="1" xfId="3" applyFont="1" applyFill="1" applyBorder="1" applyAlignment="1" applyProtection="1">
      <alignment vertical="center" wrapText="1"/>
      <protection locked="0"/>
    </xf>
    <xf numFmtId="49" fontId="19" fillId="0" borderId="1" xfId="3" applyNumberFormat="1" applyFont="1" applyFill="1" applyBorder="1" applyAlignment="1" applyProtection="1">
      <alignment vertical="center" wrapText="1"/>
      <protection locked="0"/>
    </xf>
    <xf numFmtId="8" fontId="6" fillId="0" borderId="0" xfId="0" applyNumberFormat="1" applyFont="1" applyAlignment="1" applyProtection="1">
      <alignment vertical="center"/>
      <protection locked="0"/>
    </xf>
    <xf numFmtId="49" fontId="12" fillId="0" borderId="5" xfId="3" applyNumberFormat="1" applyFont="1" applyFill="1" applyBorder="1" applyAlignment="1" applyProtection="1">
      <alignment vertical="center" wrapText="1"/>
      <protection locked="0"/>
    </xf>
    <xf numFmtId="0" fontId="11" fillId="13" borderId="1" xfId="3" applyFont="1" applyFill="1" applyBorder="1" applyAlignment="1" applyProtection="1">
      <alignment vertical="center" wrapText="1"/>
      <protection locked="0"/>
    </xf>
    <xf numFmtId="49" fontId="12" fillId="0" borderId="11" xfId="3" applyNumberFormat="1" applyFont="1" applyFill="1" applyBorder="1" applyAlignment="1" applyProtection="1">
      <alignment vertical="center" wrapText="1"/>
      <protection locked="0"/>
    </xf>
    <xf numFmtId="0" fontId="11" fillId="11" borderId="1" xfId="3" applyFont="1" applyFill="1" applyBorder="1" applyAlignment="1" applyProtection="1">
      <alignment vertical="center" wrapText="1"/>
      <protection locked="0"/>
    </xf>
    <xf numFmtId="0" fontId="12" fillId="0" borderId="6" xfId="3" applyFont="1" applyFill="1" applyBorder="1" applyAlignment="1" applyProtection="1">
      <alignment vertical="center" wrapText="1"/>
      <protection locked="0"/>
    </xf>
    <xf numFmtId="8" fontId="25" fillId="0" borderId="7" xfId="3" applyNumberFormat="1" applyFont="1" applyFill="1" applyBorder="1" applyAlignment="1" applyProtection="1">
      <alignment vertical="center" wrapText="1"/>
      <protection locked="0"/>
    </xf>
    <xf numFmtId="8" fontId="25" fillId="0" borderId="5" xfId="3" applyNumberFormat="1" applyFont="1" applyFill="1" applyBorder="1" applyAlignment="1" applyProtection="1">
      <alignment vertical="center" wrapText="1"/>
      <protection locked="0"/>
    </xf>
    <xf numFmtId="8" fontId="22" fillId="0" borderId="1" xfId="3" applyNumberFormat="1" applyFont="1" applyFill="1" applyBorder="1" applyAlignment="1" applyProtection="1">
      <alignment horizontal="center" vertical="center" wrapText="1"/>
      <protection locked="0"/>
    </xf>
    <xf numFmtId="8" fontId="12" fillId="0" borderId="13" xfId="3" applyNumberFormat="1" applyFont="1" applyFill="1" applyBorder="1" applyAlignment="1" applyProtection="1">
      <alignment vertical="center" wrapText="1"/>
      <protection locked="0"/>
    </xf>
    <xf numFmtId="8" fontId="22" fillId="0" borderId="1" xfId="3" applyNumberFormat="1" applyFont="1" applyFill="1" applyBorder="1" applyAlignment="1" applyProtection="1">
      <alignment vertical="center" wrapText="1"/>
      <protection locked="0"/>
    </xf>
    <xf numFmtId="0" fontId="0" fillId="0" borderId="3" xfId="0" applyBorder="1"/>
    <xf numFmtId="0" fontId="9" fillId="0" borderId="3" xfId="3" applyFont="1" applyBorder="1" applyAlignment="1" applyProtection="1">
      <alignment vertical="center"/>
      <protection locked="0"/>
    </xf>
    <xf numFmtId="0" fontId="9" fillId="0" borderId="17" xfId="3" applyFont="1" applyBorder="1" applyAlignment="1" applyProtection="1">
      <alignment vertical="center"/>
      <protection locked="0"/>
    </xf>
    <xf numFmtId="0" fontId="6" fillId="20" borderId="13" xfId="0" applyFont="1" applyFill="1" applyBorder="1" applyAlignment="1" applyProtection="1">
      <alignment horizontal="left" vertical="center"/>
      <protection locked="0"/>
    </xf>
    <xf numFmtId="0" fontId="6" fillId="21" borderId="13" xfId="0" applyFont="1" applyFill="1" applyBorder="1" applyAlignment="1" applyProtection="1">
      <alignment vertical="center" wrapText="1"/>
      <protection locked="0"/>
    </xf>
    <xf numFmtId="0" fontId="6" fillId="22" borderId="13" xfId="0" applyFont="1" applyFill="1" applyBorder="1" applyAlignment="1" applyProtection="1">
      <alignment vertical="center" wrapText="1"/>
      <protection locked="0"/>
    </xf>
    <xf numFmtId="0" fontId="6" fillId="20" borderId="13" xfId="0" applyFont="1" applyFill="1" applyBorder="1" applyAlignment="1" applyProtection="1">
      <alignment vertical="center"/>
      <protection locked="0"/>
    </xf>
    <xf numFmtId="0" fontId="6" fillId="23" borderId="13" xfId="0" applyFont="1" applyFill="1" applyBorder="1" applyAlignment="1" applyProtection="1">
      <alignment vertical="center" wrapText="1"/>
      <protection locked="0"/>
    </xf>
    <xf numFmtId="0" fontId="21" fillId="24" borderId="13" xfId="0" applyFont="1" applyFill="1" applyBorder="1" applyAlignment="1" applyProtection="1">
      <alignment vertical="center" wrapText="1"/>
      <protection locked="0"/>
    </xf>
    <xf numFmtId="39" fontId="22" fillId="0" borderId="13" xfId="3" applyNumberFormat="1" applyFont="1" applyFill="1" applyBorder="1" applyAlignment="1" applyProtection="1">
      <alignment vertical="center" wrapText="1"/>
      <protection locked="0"/>
    </xf>
    <xf numFmtId="0" fontId="24" fillId="0" borderId="13" xfId="0" applyFont="1" applyFill="1" applyBorder="1" applyAlignment="1" applyProtection="1">
      <alignment vertical="center" wrapText="1"/>
      <protection locked="0"/>
    </xf>
    <xf numFmtId="166" fontId="22" fillId="0" borderId="13" xfId="5" applyNumberFormat="1" applyFont="1" applyFill="1" applyBorder="1" applyAlignment="1" applyProtection="1">
      <alignment vertical="center" wrapText="1"/>
      <protection locked="0"/>
    </xf>
    <xf numFmtId="9" fontId="14" fillId="10" borderId="13" xfId="0" applyNumberFormat="1" applyFont="1" applyFill="1" applyBorder="1" applyAlignment="1" applyProtection="1">
      <alignment horizontal="center" vertical="center"/>
      <protection locked="0"/>
    </xf>
    <xf numFmtId="0" fontId="6" fillId="0" borderId="2" xfId="0" applyFont="1" applyBorder="1" applyAlignment="1" applyProtection="1">
      <alignment horizontal="left" vertical="center" wrapText="1"/>
      <protection locked="0"/>
    </xf>
    <xf numFmtId="0" fontId="6" fillId="0" borderId="2" xfId="0" applyFont="1" applyFill="1" applyBorder="1" applyAlignment="1" applyProtection="1">
      <alignment vertical="center"/>
      <protection locked="0"/>
    </xf>
    <xf numFmtId="0" fontId="21" fillId="24" borderId="2" xfId="0" applyFont="1" applyFill="1" applyBorder="1" applyAlignment="1" applyProtection="1">
      <alignment vertical="center" wrapText="1"/>
      <protection locked="0"/>
    </xf>
    <xf numFmtId="0" fontId="11" fillId="0" borderId="13" xfId="3" applyFont="1" applyFill="1" applyBorder="1" applyAlignment="1" applyProtection="1">
      <alignment horizontal="left" vertical="center" wrapText="1"/>
      <protection locked="0"/>
    </xf>
    <xf numFmtId="0" fontId="6" fillId="21" borderId="2" xfId="0" applyFont="1" applyFill="1" applyBorder="1" applyAlignment="1" applyProtection="1">
      <alignment vertical="center" wrapText="1"/>
      <protection locked="0"/>
    </xf>
    <xf numFmtId="0" fontId="12" fillId="0" borderId="10" xfId="3" applyFont="1" applyFill="1" applyBorder="1" applyAlignment="1" applyProtection="1">
      <alignment vertical="center" wrapText="1"/>
      <protection locked="0"/>
    </xf>
    <xf numFmtId="0" fontId="11" fillId="12" borderId="4" xfId="3" applyFont="1" applyFill="1" applyBorder="1" applyAlignment="1" applyProtection="1">
      <alignment vertical="center" wrapText="1"/>
      <protection locked="0"/>
    </xf>
    <xf numFmtId="0" fontId="11" fillId="8" borderId="7" xfId="3" applyFont="1" applyFill="1" applyBorder="1" applyAlignment="1" applyProtection="1">
      <alignment vertical="center" wrapText="1"/>
      <protection locked="0"/>
    </xf>
    <xf numFmtId="0" fontId="11" fillId="9" borderId="5" xfId="3" applyFont="1" applyFill="1" applyBorder="1" applyAlignment="1" applyProtection="1">
      <alignment vertical="center" wrapText="1"/>
      <protection locked="0"/>
    </xf>
    <xf numFmtId="0" fontId="11" fillId="8" borderId="5" xfId="3" applyFont="1" applyFill="1" applyBorder="1" applyAlignment="1" applyProtection="1">
      <alignment vertical="center" wrapText="1"/>
      <protection locked="0"/>
    </xf>
    <xf numFmtId="0" fontId="11" fillId="3" borderId="7" xfId="3" applyFont="1" applyFill="1" applyBorder="1" applyAlignment="1" applyProtection="1">
      <alignment vertical="center" wrapText="1"/>
      <protection locked="0"/>
    </xf>
    <xf numFmtId="0" fontId="12" fillId="0" borderId="9" xfId="3" applyFont="1" applyFill="1" applyBorder="1" applyAlignment="1" applyProtection="1">
      <alignment vertical="center" wrapText="1"/>
      <protection locked="0"/>
    </xf>
    <xf numFmtId="0" fontId="11" fillId="9" borderId="7" xfId="3" applyFont="1" applyFill="1" applyBorder="1" applyAlignment="1" applyProtection="1">
      <alignment vertical="center" wrapText="1"/>
      <protection locked="0"/>
    </xf>
    <xf numFmtId="8" fontId="25" fillId="0" borderId="13" xfId="3" applyNumberFormat="1" applyFont="1" applyFill="1" applyBorder="1" applyAlignment="1" applyProtection="1">
      <alignment vertical="center" wrapText="1"/>
      <protection locked="0"/>
    </xf>
    <xf numFmtId="8" fontId="12" fillId="0" borderId="5" xfId="3" applyNumberFormat="1" applyFont="1" applyFill="1" applyBorder="1" applyAlignment="1" applyProtection="1">
      <alignment vertical="center" wrapText="1"/>
      <protection locked="0"/>
    </xf>
    <xf numFmtId="8" fontId="12" fillId="0" borderId="8" xfId="3" applyNumberFormat="1" applyFont="1" applyFill="1" applyBorder="1" applyAlignment="1" applyProtection="1">
      <alignment vertical="center" wrapText="1"/>
      <protection locked="0"/>
    </xf>
    <xf numFmtId="8" fontId="12" fillId="0" borderId="7" xfId="3" applyNumberFormat="1" applyFont="1" applyFill="1" applyBorder="1" applyAlignment="1" applyProtection="1">
      <alignment vertical="center" wrapText="1"/>
      <protection locked="0"/>
    </xf>
    <xf numFmtId="0" fontId="21" fillId="24" borderId="0" xfId="0" applyFont="1" applyFill="1" applyBorder="1" applyAlignment="1" applyProtection="1">
      <alignment vertical="center" wrapText="1"/>
      <protection locked="0"/>
    </xf>
    <xf numFmtId="0" fontId="6" fillId="0" borderId="13" xfId="0" applyFont="1" applyBorder="1" applyAlignment="1" applyProtection="1">
      <alignment vertical="center"/>
      <protection locked="0"/>
    </xf>
    <xf numFmtId="0" fontId="6" fillId="0" borderId="13" xfId="0" applyFont="1" applyFill="1" applyBorder="1" applyAlignment="1" applyProtection="1">
      <alignment vertical="center"/>
      <protection locked="0"/>
    </xf>
    <xf numFmtId="0" fontId="16" fillId="0" borderId="13" xfId="0" applyFont="1" applyBorder="1" applyAlignment="1" applyProtection="1">
      <alignment vertical="center"/>
      <protection locked="0"/>
    </xf>
    <xf numFmtId="0" fontId="14" fillId="0" borderId="13" xfId="0" applyFont="1" applyFill="1" applyBorder="1" applyAlignment="1" applyProtection="1">
      <alignment vertical="center"/>
      <protection locked="0"/>
    </xf>
    <xf numFmtId="0" fontId="6" fillId="21" borderId="0" xfId="0" applyFont="1" applyFill="1" applyBorder="1" applyAlignment="1" applyProtection="1">
      <alignment vertical="center" wrapText="1"/>
      <protection locked="0"/>
    </xf>
    <xf numFmtId="164" fontId="6" fillId="0" borderId="13" xfId="4" applyNumberFormat="1" applyFont="1" applyBorder="1" applyAlignment="1" applyProtection="1">
      <alignment vertical="center"/>
      <protection locked="0"/>
    </xf>
    <xf numFmtId="0" fontId="24" fillId="0" borderId="0" xfId="0" applyFont="1" applyFill="1" applyBorder="1" applyAlignment="1" applyProtection="1">
      <alignment vertical="center" wrapText="1"/>
      <protection locked="0"/>
    </xf>
    <xf numFmtId="14" fontId="6" fillId="0" borderId="13" xfId="0" applyNumberFormat="1" applyFont="1" applyFill="1" applyBorder="1" applyAlignment="1" applyProtection="1">
      <alignment vertical="center"/>
      <protection locked="0"/>
    </xf>
    <xf numFmtId="0" fontId="6" fillId="0" borderId="13" xfId="0" applyFont="1" applyFill="1" applyBorder="1" applyAlignment="1" applyProtection="1">
      <alignment vertical="center" wrapText="1"/>
      <protection locked="0"/>
    </xf>
    <xf numFmtId="0" fontId="17" fillId="0" borderId="13" xfId="0" applyFont="1" applyFill="1" applyBorder="1" applyAlignment="1" applyProtection="1">
      <alignment vertical="center"/>
      <protection locked="0"/>
    </xf>
    <xf numFmtId="0" fontId="6" fillId="20" borderId="0" xfId="0" applyFont="1" applyFill="1" applyBorder="1" applyAlignment="1" applyProtection="1">
      <alignment vertical="center"/>
      <protection locked="0"/>
    </xf>
    <xf numFmtId="0" fontId="14" fillId="0" borderId="13" xfId="0" applyFont="1" applyFill="1" applyBorder="1" applyAlignment="1" applyProtection="1">
      <alignment horizontal="center" vertical="center"/>
      <protection locked="0"/>
    </xf>
    <xf numFmtId="0" fontId="16" fillId="0" borderId="13" xfId="0" applyFont="1" applyFill="1" applyBorder="1" applyAlignment="1" applyProtection="1">
      <alignment horizontal="center" vertical="center"/>
      <protection locked="0"/>
    </xf>
    <xf numFmtId="14" fontId="12" fillId="0" borderId="13" xfId="3" applyNumberFormat="1" applyFont="1" applyFill="1" applyBorder="1" applyAlignment="1" applyProtection="1">
      <alignment vertical="center" wrapText="1"/>
      <protection locked="0"/>
    </xf>
    <xf numFmtId="0" fontId="14" fillId="10" borderId="13" xfId="0" applyFont="1" applyFill="1" applyBorder="1" applyAlignment="1" applyProtection="1">
      <alignment vertical="center" wrapText="1"/>
      <protection locked="0"/>
    </xf>
    <xf numFmtId="166" fontId="22" fillId="0" borderId="0" xfId="5" applyNumberFormat="1" applyFont="1" applyFill="1" applyBorder="1" applyAlignment="1" applyProtection="1">
      <alignment vertical="center" wrapText="1"/>
      <protection locked="0"/>
    </xf>
    <xf numFmtId="39" fontId="22" fillId="0" borderId="0" xfId="3" applyNumberFormat="1" applyFont="1" applyFill="1" applyBorder="1" applyAlignment="1" applyProtection="1">
      <alignment vertical="center" wrapText="1"/>
      <protection locked="0"/>
    </xf>
    <xf numFmtId="0" fontId="6" fillId="23" borderId="0" xfId="0" applyFont="1" applyFill="1" applyBorder="1" applyAlignment="1" applyProtection="1">
      <alignment vertical="center" wrapText="1"/>
      <protection locked="0"/>
    </xf>
    <xf numFmtId="165" fontId="18" fillId="0" borderId="13" xfId="0" applyNumberFormat="1" applyFont="1" applyBorder="1" applyAlignment="1" applyProtection="1">
      <alignment vertical="center"/>
      <protection locked="0"/>
    </xf>
    <xf numFmtId="0" fontId="11" fillId="0" borderId="13" xfId="3" applyFont="1" applyFill="1" applyBorder="1" applyAlignment="1" applyProtection="1">
      <alignment vertical="center" wrapText="1"/>
      <protection locked="0"/>
    </xf>
    <xf numFmtId="166" fontId="22" fillId="0" borderId="2" xfId="5" applyNumberFormat="1" applyFont="1" applyFill="1" applyBorder="1" applyAlignment="1" applyProtection="1">
      <alignment vertical="center" wrapText="1"/>
      <protection locked="0"/>
    </xf>
    <xf numFmtId="0" fontId="6" fillId="23" borderId="2" xfId="0" applyFont="1" applyFill="1" applyBorder="1" applyAlignment="1" applyProtection="1">
      <alignment vertical="center" wrapText="1"/>
      <protection locked="0"/>
    </xf>
    <xf numFmtId="0" fontId="11" fillId="0" borderId="4" xfId="3" applyFont="1" applyFill="1" applyBorder="1" applyAlignment="1" applyProtection="1">
      <alignment vertical="center" wrapText="1"/>
      <protection locked="0"/>
    </xf>
    <xf numFmtId="0" fontId="11" fillId="0" borderId="1" xfId="3" applyFont="1" applyFill="1" applyBorder="1" applyAlignment="1" applyProtection="1">
      <alignment horizontal="left" vertical="center" wrapText="1"/>
      <protection locked="0"/>
    </xf>
    <xf numFmtId="0" fontId="12" fillId="0" borderId="6" xfId="3" applyFont="1" applyBorder="1" applyAlignment="1" applyProtection="1">
      <alignment horizontal="center" vertical="center" wrapText="1"/>
      <protection locked="0"/>
    </xf>
    <xf numFmtId="0" fontId="6" fillId="22" borderId="0" xfId="0" applyFont="1" applyFill="1" applyBorder="1" applyAlignment="1" applyProtection="1">
      <alignment vertical="center" wrapText="1"/>
      <protection locked="0"/>
    </xf>
    <xf numFmtId="0" fontId="6" fillId="0" borderId="16" xfId="0" applyFont="1" applyBorder="1" applyAlignment="1" applyProtection="1">
      <alignment vertical="center"/>
      <protection locked="0"/>
    </xf>
    <xf numFmtId="0" fontId="6" fillId="22" borderId="2" xfId="0" applyFont="1" applyFill="1" applyBorder="1" applyAlignment="1" applyProtection="1">
      <alignment vertical="center" wrapText="1"/>
      <protection locked="0"/>
    </xf>
    <xf numFmtId="0" fontId="11" fillId="3" borderId="12" xfId="3" applyFont="1" applyFill="1" applyBorder="1" applyAlignment="1" applyProtection="1">
      <alignment vertical="center" wrapText="1"/>
      <protection locked="0"/>
    </xf>
    <xf numFmtId="0" fontId="11" fillId="3" borderId="13" xfId="3" applyFont="1" applyFill="1" applyBorder="1" applyAlignment="1" applyProtection="1">
      <alignment vertical="center" wrapText="1"/>
      <protection locked="0"/>
    </xf>
    <xf numFmtId="0" fontId="11" fillId="15" borderId="15" xfId="3" applyFont="1" applyFill="1" applyBorder="1" applyAlignment="1" applyProtection="1">
      <alignment vertical="center" wrapText="1"/>
      <protection locked="0"/>
    </xf>
    <xf numFmtId="0" fontId="11" fillId="14" borderId="15" xfId="3" applyFont="1" applyFill="1" applyBorder="1" applyAlignment="1" applyProtection="1">
      <alignment vertical="center" wrapText="1"/>
      <protection locked="0"/>
    </xf>
    <xf numFmtId="0" fontId="11" fillId="13" borderId="15" xfId="3" applyFont="1" applyFill="1" applyBorder="1" applyAlignment="1" applyProtection="1">
      <alignment vertical="center" wrapText="1"/>
      <protection locked="0"/>
    </xf>
    <xf numFmtId="0" fontId="11" fillId="12" borderId="15" xfId="3" applyFont="1" applyFill="1" applyBorder="1" applyAlignment="1" applyProtection="1">
      <alignment vertical="center" wrapText="1"/>
      <protection locked="0"/>
    </xf>
    <xf numFmtId="0" fontId="11" fillId="16" borderId="15" xfId="3" applyFont="1" applyFill="1" applyBorder="1" applyAlignment="1" applyProtection="1">
      <alignment vertical="center" wrapText="1"/>
      <protection locked="0"/>
    </xf>
    <xf numFmtId="0" fontId="11" fillId="6" borderId="14" xfId="3" applyFont="1" applyFill="1" applyBorder="1" applyAlignment="1" applyProtection="1">
      <alignment vertical="center" wrapText="1"/>
      <protection locked="0"/>
    </xf>
    <xf numFmtId="0" fontId="11" fillId="7" borderId="14" xfId="3" applyFont="1" applyFill="1" applyBorder="1" applyAlignment="1" applyProtection="1">
      <alignment vertical="center" wrapText="1"/>
      <protection locked="0"/>
    </xf>
    <xf numFmtId="0" fontId="11" fillId="7" borderId="14" xfId="3" applyFont="1" applyFill="1" applyBorder="1" applyAlignment="1" applyProtection="1">
      <alignment horizontal="left" vertical="center" wrapText="1"/>
      <protection locked="0"/>
    </xf>
    <xf numFmtId="0" fontId="11" fillId="5" borderId="14" xfId="3" applyFont="1" applyFill="1" applyBorder="1" applyAlignment="1" applyProtection="1">
      <alignment horizontal="left" vertical="center" wrapText="1"/>
      <protection locked="0"/>
    </xf>
    <xf numFmtId="0" fontId="11" fillId="5" borderId="14" xfId="3" applyFont="1" applyFill="1" applyBorder="1" applyAlignment="1" applyProtection="1">
      <alignment vertical="center" wrapText="1"/>
      <protection locked="0"/>
    </xf>
    <xf numFmtId="0" fontId="11" fillId="9" borderId="14" xfId="3" applyFont="1" applyFill="1" applyBorder="1" applyAlignment="1" applyProtection="1">
      <alignment vertical="center" wrapText="1"/>
      <protection locked="0"/>
    </xf>
    <xf numFmtId="0" fontId="11" fillId="9" borderId="3" xfId="3" applyFont="1" applyFill="1" applyBorder="1" applyAlignment="1" applyProtection="1">
      <alignment vertical="center" wrapText="1"/>
      <protection locked="0"/>
    </xf>
    <xf numFmtId="0" fontId="11" fillId="11" borderId="14" xfId="3" applyFont="1" applyFill="1" applyBorder="1" applyAlignment="1" applyProtection="1">
      <alignment vertical="center" wrapText="1"/>
      <protection locked="0"/>
    </xf>
    <xf numFmtId="49" fontId="11" fillId="4" borderId="14" xfId="3" applyNumberFormat="1" applyFont="1" applyFill="1" applyBorder="1" applyAlignment="1" applyProtection="1">
      <alignment vertical="center" wrapText="1"/>
      <protection locked="0"/>
    </xf>
    <xf numFmtId="0" fontId="0" fillId="0" borderId="0" xfId="0" applyFill="1" applyBorder="1"/>
    <xf numFmtId="0" fontId="11" fillId="0" borderId="0" xfId="3" applyFont="1" applyFill="1" applyBorder="1" applyAlignment="1" applyProtection="1">
      <alignment vertical="center" wrapText="1"/>
      <protection locked="0"/>
    </xf>
    <xf numFmtId="0" fontId="11" fillId="0" borderId="0" xfId="3" applyFont="1" applyFill="1" applyBorder="1" applyAlignment="1" applyProtection="1">
      <alignment horizontal="left" vertical="center" wrapText="1"/>
      <protection locked="0"/>
    </xf>
    <xf numFmtId="49" fontId="11" fillId="0" borderId="0" xfId="3" applyNumberFormat="1" applyFont="1" applyFill="1" applyBorder="1" applyAlignment="1" applyProtection="1">
      <alignment vertical="center" wrapText="1"/>
      <protection locked="0"/>
    </xf>
    <xf numFmtId="0" fontId="11" fillId="0" borderId="12" xfId="3" applyFont="1" applyFill="1" applyBorder="1" applyAlignment="1" applyProtection="1">
      <alignment vertical="center" wrapText="1"/>
      <protection locked="0"/>
    </xf>
    <xf numFmtId="0" fontId="11" fillId="0" borderId="16" xfId="3" applyFont="1" applyFill="1" applyBorder="1" applyAlignment="1" applyProtection="1">
      <alignment vertical="center" wrapText="1"/>
      <protection locked="0"/>
    </xf>
    <xf numFmtId="0" fontId="0" fillId="0" borderId="0" xfId="0" applyAlignment="1">
      <alignment horizontal="center"/>
    </xf>
    <xf numFmtId="0" fontId="0" fillId="0" borderId="0" xfId="0" quotePrefix="1" applyAlignment="1">
      <alignment horizontal="center"/>
    </xf>
    <xf numFmtId="0" fontId="0" fillId="0" borderId="0" xfId="0" applyAlignment="1"/>
    <xf numFmtId="0" fontId="0" fillId="0" borderId="0" xfId="0" quotePrefix="1"/>
    <xf numFmtId="0" fontId="0" fillId="0" borderId="0" xfId="0" applyAlignment="1">
      <alignment horizontal="center"/>
    </xf>
    <xf numFmtId="0" fontId="12" fillId="11" borderId="14" xfId="3" applyFont="1" applyFill="1" applyBorder="1" applyAlignment="1" applyProtection="1">
      <alignment vertical="center" wrapText="1"/>
      <protection locked="0"/>
    </xf>
    <xf numFmtId="0" fontId="11" fillId="11" borderId="3" xfId="3" applyFont="1" applyFill="1" applyBorder="1" applyAlignment="1" applyProtection="1">
      <alignment vertical="center" wrapText="1"/>
      <protection locked="0"/>
    </xf>
    <xf numFmtId="0" fontId="11" fillId="11" borderId="18" xfId="3" applyFont="1" applyFill="1" applyBorder="1" applyAlignment="1" applyProtection="1">
      <alignment vertical="center" wrapText="1"/>
      <protection locked="0"/>
    </xf>
    <xf numFmtId="0" fontId="2" fillId="0" borderId="0" xfId="0" applyFont="1" applyAlignment="1">
      <alignment horizontal="center" vertical="center" wrapText="1"/>
    </xf>
    <xf numFmtId="0" fontId="0" fillId="0" borderId="14" xfId="0" applyBorder="1"/>
    <xf numFmtId="0" fontId="0" fillId="0" borderId="1" xfId="0" applyBorder="1"/>
    <xf numFmtId="0" fontId="0" fillId="0" borderId="1" xfId="0" applyBorder="1" applyAlignment="1">
      <alignment horizontal="center"/>
    </xf>
    <xf numFmtId="0" fontId="0" fillId="0" borderId="1" xfId="0" applyBorder="1" applyAlignment="1"/>
    <xf numFmtId="0" fontId="0" fillId="0" borderId="1" xfId="0" applyBorder="1" applyAlignment="1">
      <alignment horizontal="center" vertical="center" wrapText="1"/>
    </xf>
    <xf numFmtId="0" fontId="0" fillId="0" borderId="18" xfId="0" applyBorder="1" applyAlignment="1">
      <alignment horizontal="center" vertical="center" wrapText="1"/>
    </xf>
    <xf numFmtId="0" fontId="0" fillId="0" borderId="0" xfId="0" applyBorder="1" applyAlignment="1">
      <alignment horizontal="center" vertical="center" wrapText="1"/>
    </xf>
    <xf numFmtId="49" fontId="0" fillId="0" borderId="0" xfId="0" applyNumberFormat="1"/>
    <xf numFmtId="0" fontId="0" fillId="0" borderId="18" xfId="0" applyBorder="1"/>
    <xf numFmtId="168" fontId="0" fillId="0" borderId="18" xfId="7" applyNumberFormat="1" applyFont="1" applyBorder="1"/>
    <xf numFmtId="0" fontId="31" fillId="0" borderId="0" xfId="0" applyFont="1"/>
    <xf numFmtId="0" fontId="0" fillId="0" borderId="0" xfId="0" applyAlignment="1">
      <alignment horizontal="center"/>
    </xf>
    <xf numFmtId="0" fontId="2" fillId="0" borderId="1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0" xfId="0" applyFont="1" applyFill="1" applyBorder="1" applyAlignment="1">
      <alignment horizontal="center" vertical="center" wrapText="1"/>
    </xf>
    <xf numFmtId="44" fontId="0" fillId="0" borderId="0" xfId="1" applyFont="1"/>
    <xf numFmtId="0" fontId="34" fillId="0" borderId="0" xfId="0" applyFont="1" applyAlignment="1">
      <alignment horizontal="center" vertical="center" wrapText="1"/>
    </xf>
    <xf numFmtId="44" fontId="34" fillId="0" borderId="0" xfId="1" applyFont="1" applyAlignment="1">
      <alignment horizontal="center" vertical="center" wrapText="1"/>
    </xf>
    <xf numFmtId="9" fontId="34" fillId="0" borderId="0" xfId="2" applyFont="1" applyAlignment="1">
      <alignment horizontal="center" vertical="center" wrapText="1"/>
    </xf>
    <xf numFmtId="0" fontId="37" fillId="0" borderId="1" xfId="0" applyFont="1" applyBorder="1" applyAlignment="1">
      <alignment horizontal="center" vertical="center" wrapText="1"/>
    </xf>
    <xf numFmtId="0" fontId="11" fillId="0" borderId="5" xfId="3" applyFont="1" applyFill="1" applyBorder="1" applyAlignment="1" applyProtection="1">
      <alignment vertical="center" wrapText="1"/>
      <protection locked="0"/>
    </xf>
    <xf numFmtId="0" fontId="11" fillId="0" borderId="6" xfId="3" applyFont="1" applyFill="1" applyBorder="1" applyAlignment="1" applyProtection="1">
      <alignment vertical="center" wrapText="1"/>
      <protection locked="0"/>
    </xf>
    <xf numFmtId="0" fontId="11" fillId="0" borderId="8" xfId="3" applyFont="1" applyFill="1" applyBorder="1" applyAlignment="1" applyProtection="1">
      <alignment vertical="center" wrapText="1"/>
      <protection locked="0"/>
    </xf>
    <xf numFmtId="0" fontId="11" fillId="0" borderId="9" xfId="3" applyFont="1" applyFill="1" applyBorder="1" applyAlignment="1" applyProtection="1">
      <alignment vertical="center" wrapText="1"/>
      <protection locked="0"/>
    </xf>
    <xf numFmtId="0" fontId="11" fillId="0" borderId="10" xfId="3" applyFont="1" applyFill="1" applyBorder="1" applyAlignment="1" applyProtection="1">
      <alignment vertical="center" wrapText="1"/>
      <protection locked="0"/>
    </xf>
    <xf numFmtId="49" fontId="11" fillId="0" borderId="1" xfId="3" applyNumberFormat="1" applyFont="1" applyFill="1" applyBorder="1" applyAlignment="1" applyProtection="1">
      <alignment vertical="center" wrapText="1"/>
      <protection locked="0"/>
    </xf>
    <xf numFmtId="0" fontId="30" fillId="0" borderId="0" xfId="0" applyFont="1"/>
    <xf numFmtId="9" fontId="38" fillId="17" borderId="28" xfId="2" applyFont="1" applyFill="1" applyBorder="1" applyAlignment="1">
      <alignment horizontal="center" vertical="center" wrapText="1"/>
    </xf>
    <xf numFmtId="9" fontId="38" fillId="7" borderId="1" xfId="2" applyFont="1" applyFill="1" applyBorder="1" applyAlignment="1">
      <alignment horizontal="center" vertical="center" wrapText="1"/>
    </xf>
    <xf numFmtId="0" fontId="30" fillId="7" borderId="1" xfId="0" applyFont="1" applyFill="1" applyBorder="1" applyAlignment="1">
      <alignment horizontal="center" vertical="center" wrapText="1"/>
    </xf>
    <xf numFmtId="0" fontId="30" fillId="25" borderId="3" xfId="0" applyFont="1" applyFill="1" applyBorder="1"/>
    <xf numFmtId="0" fontId="30" fillId="25" borderId="3" xfId="0" applyFont="1" applyFill="1" applyBorder="1" applyAlignment="1">
      <alignment horizontal="center"/>
    </xf>
    <xf numFmtId="44" fontId="29" fillId="25" borderId="3" xfId="1" applyFont="1" applyFill="1" applyBorder="1"/>
    <xf numFmtId="9" fontId="29" fillId="25" borderId="3" xfId="2" applyFont="1" applyFill="1" applyBorder="1" applyAlignment="1">
      <alignment horizontal="center"/>
    </xf>
    <xf numFmtId="0" fontId="30" fillId="25" borderId="0" xfId="0" applyFont="1" applyFill="1" applyBorder="1"/>
    <xf numFmtId="0" fontId="30" fillId="25" borderId="0" xfId="0" applyFont="1" applyFill="1"/>
    <xf numFmtId="0" fontId="40" fillId="25" borderId="0" xfId="0" applyFont="1" applyFill="1"/>
    <xf numFmtId="0" fontId="38" fillId="29" borderId="29" xfId="0" applyFont="1" applyFill="1" applyBorder="1" applyAlignment="1">
      <alignment horizontal="center" vertical="center" wrapText="1"/>
    </xf>
    <xf numFmtId="0" fontId="38" fillId="29" borderId="32" xfId="0" applyFont="1" applyFill="1" applyBorder="1" applyAlignment="1">
      <alignment horizontal="center" vertical="center" wrapText="1"/>
    </xf>
    <xf numFmtId="0" fontId="38" fillId="29" borderId="8" xfId="0" applyFont="1" applyFill="1" applyBorder="1" applyAlignment="1">
      <alignment horizontal="center" vertical="center" wrapText="1"/>
    </xf>
    <xf numFmtId="0" fontId="38" fillId="29" borderId="19" xfId="0" applyFont="1" applyFill="1" applyBorder="1" applyAlignment="1">
      <alignment horizontal="center" vertical="center" wrapText="1"/>
    </xf>
    <xf numFmtId="44" fontId="38" fillId="29" borderId="19" xfId="1" applyFont="1" applyFill="1" applyBorder="1" applyAlignment="1">
      <alignment horizontal="center" vertical="center" wrapText="1"/>
    </xf>
    <xf numFmtId="9" fontId="38" fillId="29" borderId="19" xfId="2" applyFont="1" applyFill="1" applyBorder="1" applyAlignment="1">
      <alignment horizontal="center" vertical="center" wrapText="1"/>
    </xf>
    <xf numFmtId="0" fontId="38" fillId="29" borderId="20" xfId="0" applyFont="1" applyFill="1" applyBorder="1" applyAlignment="1">
      <alignment horizontal="center" vertical="center" wrapText="1"/>
    </xf>
    <xf numFmtId="0" fontId="39" fillId="28" borderId="21" xfId="0" applyFont="1" applyFill="1" applyBorder="1" applyAlignment="1">
      <alignment vertical="center"/>
    </xf>
    <xf numFmtId="0" fontId="39" fillId="28" borderId="0" xfId="0" applyFont="1" applyFill="1" applyBorder="1" applyAlignment="1">
      <alignment vertical="center"/>
    </xf>
    <xf numFmtId="0" fontId="30" fillId="28" borderId="0" xfId="0" applyFont="1" applyFill="1"/>
    <xf numFmtId="44" fontId="47" fillId="27" borderId="24" xfId="1" applyFont="1" applyFill="1" applyBorder="1" applyAlignment="1">
      <alignment horizontal="center" vertical="center" wrapText="1"/>
    </xf>
    <xf numFmtId="9" fontId="47" fillId="27" borderId="24" xfId="2" applyFont="1" applyFill="1" applyBorder="1" applyAlignment="1">
      <alignment horizontal="center" vertical="center" wrapText="1"/>
    </xf>
    <xf numFmtId="10" fontId="47" fillId="27" borderId="24" xfId="2" applyNumberFormat="1" applyFont="1" applyFill="1" applyBorder="1" applyAlignment="1">
      <alignment horizontal="center" vertical="center" wrapText="1"/>
    </xf>
    <xf numFmtId="44" fontId="48" fillId="27" borderId="26" xfId="0" applyNumberFormat="1" applyFont="1" applyFill="1" applyBorder="1" applyAlignment="1">
      <alignment horizontal="center" vertical="center" wrapText="1"/>
    </xf>
    <xf numFmtId="44" fontId="47" fillId="27" borderId="25" xfId="1" applyFont="1" applyFill="1" applyBorder="1" applyAlignment="1">
      <alignment horizontal="center" vertical="center" wrapText="1"/>
    </xf>
    <xf numFmtId="9" fontId="47" fillId="27" borderId="25" xfId="2" applyFont="1" applyFill="1" applyBorder="1" applyAlignment="1">
      <alignment horizontal="center" vertical="center" wrapText="1"/>
    </xf>
    <xf numFmtId="10" fontId="47" fillId="27" borderId="25" xfId="2" applyNumberFormat="1" applyFont="1" applyFill="1" applyBorder="1" applyAlignment="1">
      <alignment horizontal="center" vertical="center" wrapText="1"/>
    </xf>
    <xf numFmtId="44" fontId="48" fillId="27" borderId="23" xfId="0" applyNumberFormat="1" applyFont="1" applyFill="1" applyBorder="1" applyAlignment="1">
      <alignment horizontal="center" vertical="center" wrapText="1"/>
    </xf>
    <xf numFmtId="0" fontId="38" fillId="30" borderId="31" xfId="0" applyFont="1" applyFill="1" applyBorder="1" applyAlignment="1">
      <alignment horizontal="center" vertical="center" wrapText="1"/>
    </xf>
    <xf numFmtId="49" fontId="50" fillId="30" borderId="0" xfId="0" applyNumberFormat="1" applyFont="1" applyFill="1" applyAlignment="1">
      <alignment horizontal="left" vertical="top" wrapText="1"/>
    </xf>
    <xf numFmtId="49" fontId="50" fillId="30" borderId="40" xfId="0" applyNumberFormat="1" applyFont="1" applyFill="1" applyBorder="1" applyAlignment="1">
      <alignment horizontal="left" vertical="top" wrapText="1"/>
    </xf>
    <xf numFmtId="0" fontId="38" fillId="30" borderId="41" xfId="0" applyFont="1" applyFill="1" applyBorder="1" applyAlignment="1">
      <alignment horizontal="center" vertical="center" wrapText="1"/>
    </xf>
    <xf numFmtId="49" fontId="50" fillId="30" borderId="40" xfId="0" applyNumberFormat="1" applyFont="1" applyFill="1" applyBorder="1" applyAlignment="1">
      <alignment horizontal="left" vertical="center"/>
    </xf>
    <xf numFmtId="9" fontId="38" fillId="25" borderId="18" xfId="2" applyFont="1" applyFill="1" applyBorder="1" applyAlignment="1">
      <alignment horizontal="center" vertical="center" wrapText="1"/>
    </xf>
    <xf numFmtId="9" fontId="39" fillId="17" borderId="27" xfId="2" applyFont="1" applyFill="1" applyBorder="1" applyAlignment="1">
      <alignment horizontal="center" vertical="center" wrapText="1"/>
    </xf>
    <xf numFmtId="49" fontId="51" fillId="30" borderId="40" xfId="0" applyNumberFormat="1" applyFont="1" applyFill="1" applyBorder="1" applyAlignment="1">
      <alignment horizontal="left" vertical="top" wrapText="1"/>
    </xf>
    <xf numFmtId="0" fontId="38" fillId="25" borderId="0" xfId="0" applyFont="1" applyFill="1" applyAlignment="1">
      <alignment horizontal="center" vertical="center" wrapText="1"/>
    </xf>
    <xf numFmtId="0" fontId="30" fillId="25" borderId="0" xfId="0" applyFont="1" applyFill="1" applyAlignment="1">
      <alignment horizontal="left" vertical="top" wrapText="1"/>
    </xf>
    <xf numFmtId="0" fontId="38" fillId="25" borderId="0" xfId="0" applyFont="1" applyFill="1"/>
    <xf numFmtId="0" fontId="30" fillId="25" borderId="0" xfId="0" applyFont="1" applyFill="1" applyAlignment="1">
      <alignment horizontal="center"/>
    </xf>
    <xf numFmtId="44" fontId="47" fillId="25" borderId="0" xfId="1" applyFont="1" applyFill="1"/>
    <xf numFmtId="9" fontId="47" fillId="25" borderId="0" xfId="2" applyFont="1" applyFill="1" applyAlignment="1">
      <alignment horizontal="center"/>
    </xf>
    <xf numFmtId="10" fontId="47" fillId="25" borderId="0" xfId="2" applyNumberFormat="1" applyFont="1" applyFill="1" applyAlignment="1">
      <alignment horizontal="center"/>
    </xf>
    <xf numFmtId="44" fontId="49" fillId="25" borderId="0" xfId="0" applyNumberFormat="1" applyFont="1" applyFill="1"/>
    <xf numFmtId="44" fontId="29" fillId="25" borderId="0" xfId="1" applyFont="1" applyFill="1"/>
    <xf numFmtId="9" fontId="29" fillId="25" borderId="0" xfId="2" applyFont="1" applyFill="1" applyAlignment="1">
      <alignment horizontal="center"/>
    </xf>
    <xf numFmtId="10" fontId="29" fillId="25" borderId="0" xfId="2" applyNumberFormat="1" applyFont="1" applyFill="1" applyAlignment="1">
      <alignment horizontal="center"/>
    </xf>
    <xf numFmtId="44" fontId="30" fillId="25" borderId="0" xfId="0" applyNumberFormat="1" applyFont="1" applyFill="1"/>
    <xf numFmtId="0" fontId="41" fillId="25" borderId="0" xfId="0" applyFont="1" applyFill="1"/>
    <xf numFmtId="0" fontId="42" fillId="25" borderId="0" xfId="0" applyFont="1" applyFill="1"/>
    <xf numFmtId="0" fontId="55" fillId="25" borderId="0" xfId="0" applyFont="1" applyFill="1"/>
    <xf numFmtId="0" fontId="55" fillId="25" borderId="0" xfId="0" applyFont="1" applyFill="1" applyBorder="1"/>
    <xf numFmtId="0" fontId="55" fillId="25" borderId="16" xfId="0" applyFont="1" applyFill="1" applyBorder="1"/>
    <xf numFmtId="0" fontId="55" fillId="25" borderId="12" xfId="0" applyFont="1" applyFill="1" applyBorder="1"/>
    <xf numFmtId="0" fontId="55" fillId="25" borderId="2" xfId="0" applyFont="1" applyFill="1" applyBorder="1"/>
    <xf numFmtId="0" fontId="55" fillId="25" borderId="37" xfId="0" applyFont="1" applyFill="1" applyBorder="1"/>
    <xf numFmtId="0" fontId="55" fillId="25" borderId="3" xfId="0" applyFont="1" applyFill="1" applyBorder="1"/>
    <xf numFmtId="0" fontId="54" fillId="25" borderId="0" xfId="0" applyFont="1" applyFill="1" applyBorder="1"/>
    <xf numFmtId="0" fontId="54" fillId="25" borderId="42" xfId="0" applyFont="1" applyFill="1" applyBorder="1" applyAlignment="1">
      <alignment vertical="top"/>
    </xf>
    <xf numFmtId="0" fontId="48" fillId="25" borderId="0" xfId="0" applyFont="1" applyFill="1" applyBorder="1"/>
    <xf numFmtId="0" fontId="54" fillId="25" borderId="49" xfId="0" applyFont="1" applyFill="1" applyBorder="1" applyAlignment="1">
      <alignment horizontal="left" vertical="top"/>
    </xf>
    <xf numFmtId="0" fontId="57" fillId="25" borderId="18" xfId="0" applyFont="1" applyFill="1" applyBorder="1" applyAlignment="1">
      <alignment horizontal="left" vertical="top"/>
    </xf>
    <xf numFmtId="0" fontId="48" fillId="25" borderId="18" xfId="0" applyFont="1" applyFill="1" applyBorder="1" applyAlignment="1">
      <alignment horizontal="left" vertical="center" wrapText="1"/>
    </xf>
    <xf numFmtId="0" fontId="48" fillId="25" borderId="0" xfId="0" applyFont="1" applyFill="1"/>
    <xf numFmtId="22" fontId="61" fillId="25" borderId="0" xfId="0" applyNumberFormat="1" applyFont="1" applyFill="1"/>
    <xf numFmtId="0" fontId="61" fillId="25" borderId="0" xfId="0" applyNumberFormat="1" applyFont="1" applyFill="1"/>
    <xf numFmtId="0" fontId="48" fillId="25" borderId="0" xfId="0" applyFont="1" applyFill="1" applyBorder="1" applyAlignment="1">
      <alignment vertical="center"/>
    </xf>
    <xf numFmtId="0" fontId="59" fillId="25" borderId="0" xfId="0" applyFont="1" applyFill="1" applyBorder="1" applyAlignment="1"/>
    <xf numFmtId="0" fontId="48" fillId="25" borderId="0" xfId="0" applyFont="1" applyFill="1" applyBorder="1" applyAlignment="1">
      <alignment horizontal="center"/>
    </xf>
    <xf numFmtId="0" fontId="48" fillId="25" borderId="16" xfId="0" applyFont="1" applyFill="1" applyBorder="1"/>
    <xf numFmtId="0" fontId="48" fillId="25" borderId="2" xfId="0" applyFont="1" applyFill="1" applyBorder="1" applyAlignment="1"/>
    <xf numFmtId="0" fontId="48" fillId="25" borderId="13" xfId="0" applyFont="1" applyFill="1" applyBorder="1"/>
    <xf numFmtId="0" fontId="48" fillId="25" borderId="2" xfId="0" applyFont="1" applyFill="1" applyBorder="1"/>
    <xf numFmtId="0" fontId="48" fillId="25" borderId="1" xfId="0" applyFont="1" applyFill="1" applyBorder="1" applyAlignment="1">
      <alignment horizontal="center" vertical="center"/>
    </xf>
    <xf numFmtId="0" fontId="57" fillId="25" borderId="0" xfId="0" applyFont="1" applyFill="1" applyBorder="1"/>
    <xf numFmtId="0" fontId="48" fillId="25" borderId="3" xfId="0" applyFont="1" applyFill="1" applyBorder="1"/>
    <xf numFmtId="0" fontId="63" fillId="25" borderId="0" xfId="0" applyFont="1" applyFill="1"/>
    <xf numFmtId="0" fontId="64" fillId="25" borderId="0" xfId="0" applyFont="1" applyFill="1"/>
    <xf numFmtId="0" fontId="58" fillId="25" borderId="0" xfId="0" applyFont="1" applyFill="1"/>
    <xf numFmtId="0" fontId="63" fillId="25" borderId="0" xfId="0" applyFont="1" applyFill="1" applyAlignment="1">
      <alignment horizontal="left"/>
    </xf>
    <xf numFmtId="0" fontId="62" fillId="25" borderId="0" xfId="0" applyFont="1" applyFill="1" applyBorder="1" applyAlignment="1">
      <alignment horizontal="left" vertical="top" wrapText="1"/>
    </xf>
    <xf numFmtId="0" fontId="57" fillId="25" borderId="0" xfId="0" applyFont="1" applyFill="1" applyBorder="1" applyAlignment="1">
      <alignment horizontal="left" vertical="top"/>
    </xf>
    <xf numFmtId="43" fontId="57" fillId="25" borderId="16" xfId="7" applyFont="1" applyFill="1" applyBorder="1" applyAlignment="1">
      <alignment vertical="top"/>
    </xf>
    <xf numFmtId="43" fontId="57" fillId="25" borderId="36" xfId="0" applyNumberFormat="1" applyFont="1" applyFill="1" applyBorder="1" applyAlignment="1">
      <alignment vertical="top"/>
    </xf>
    <xf numFmtId="43" fontId="57" fillId="25" borderId="49" xfId="7" applyFont="1" applyFill="1" applyBorder="1" applyAlignment="1">
      <alignment vertical="top"/>
    </xf>
    <xf numFmtId="43" fontId="57" fillId="25" borderId="48" xfId="0" applyNumberFormat="1" applyFont="1" applyFill="1" applyBorder="1" applyAlignment="1">
      <alignment vertical="top"/>
    </xf>
    <xf numFmtId="43" fontId="57" fillId="25" borderId="46" xfId="7" applyFont="1" applyFill="1" applyBorder="1" applyAlignment="1">
      <alignment vertical="top"/>
    </xf>
    <xf numFmtId="43" fontId="57" fillId="25" borderId="45" xfId="0" applyNumberFormat="1" applyFont="1" applyFill="1" applyBorder="1" applyAlignment="1">
      <alignment vertical="top"/>
    </xf>
    <xf numFmtId="43" fontId="57" fillId="25" borderId="12" xfId="7" applyFont="1" applyFill="1" applyBorder="1" applyAlignment="1">
      <alignment vertical="top"/>
    </xf>
    <xf numFmtId="43" fontId="57" fillId="25" borderId="17" xfId="0" applyNumberFormat="1" applyFont="1" applyFill="1" applyBorder="1" applyAlignment="1">
      <alignment vertical="top"/>
    </xf>
    <xf numFmtId="0" fontId="48" fillId="25" borderId="47" xfId="0" applyFont="1" applyFill="1" applyBorder="1" applyAlignment="1">
      <alignment horizontal="left" vertical="center" wrapText="1"/>
    </xf>
    <xf numFmtId="0" fontId="48" fillId="25" borderId="44" xfId="0" applyFont="1" applyFill="1" applyBorder="1" applyAlignment="1">
      <alignment horizontal="left" vertical="center" wrapText="1"/>
    </xf>
    <xf numFmtId="0" fontId="48" fillId="25" borderId="3" xfId="0" applyFont="1" applyFill="1" applyBorder="1" applyAlignment="1">
      <alignment horizontal="left" vertical="center" wrapText="1"/>
    </xf>
    <xf numFmtId="0" fontId="57" fillId="25" borderId="47" xfId="0" applyFont="1" applyFill="1" applyBorder="1" applyAlignment="1">
      <alignment horizontal="left" vertical="top"/>
    </xf>
    <xf numFmtId="0" fontId="57" fillId="25" borderId="50" xfId="0" applyFont="1" applyFill="1" applyBorder="1" applyAlignment="1">
      <alignment horizontal="left" vertical="top"/>
    </xf>
    <xf numFmtId="0" fontId="65" fillId="25" borderId="43" xfId="0" applyFont="1" applyFill="1" applyBorder="1" applyAlignment="1">
      <alignment vertical="top"/>
    </xf>
    <xf numFmtId="0" fontId="66" fillId="25" borderId="0" xfId="0" applyFont="1" applyFill="1" applyBorder="1" applyAlignment="1">
      <alignment horizontal="left"/>
    </xf>
    <xf numFmtId="0" fontId="66" fillId="25" borderId="0" xfId="0" applyFont="1" applyFill="1" applyBorder="1"/>
    <xf numFmtId="0" fontId="67" fillId="25" borderId="3" xfId="0" applyFont="1" applyFill="1" applyBorder="1"/>
    <xf numFmtId="0" fontId="56" fillId="25" borderId="0" xfId="0" applyFont="1" applyFill="1" applyBorder="1" applyAlignment="1">
      <alignment horizontal="center" vertical="top"/>
    </xf>
    <xf numFmtId="0" fontId="48" fillId="25" borderId="0" xfId="0" applyFont="1" applyFill="1" applyBorder="1" applyAlignment="1">
      <alignment horizontal="center" vertical="top"/>
    </xf>
    <xf numFmtId="44" fontId="63" fillId="25" borderId="37" xfId="1" applyFont="1" applyFill="1" applyBorder="1"/>
    <xf numFmtId="0" fontId="63" fillId="25" borderId="37" xfId="0" applyFont="1" applyFill="1" applyBorder="1"/>
    <xf numFmtId="44" fontId="63" fillId="25" borderId="17" xfId="1" applyFont="1" applyFill="1" applyBorder="1"/>
    <xf numFmtId="0" fontId="68" fillId="26" borderId="58" xfId="0" applyFont="1" applyFill="1" applyBorder="1" applyAlignment="1">
      <alignment horizontal="center"/>
    </xf>
    <xf numFmtId="0" fontId="69" fillId="28" borderId="6" xfId="0" applyFont="1" applyFill="1" applyBorder="1"/>
    <xf numFmtId="0" fontId="69" fillId="28" borderId="52" xfId="0" applyFont="1" applyFill="1" applyBorder="1"/>
    <xf numFmtId="0" fontId="69" fillId="28" borderId="37" xfId="0" applyFont="1" applyFill="1" applyBorder="1" applyAlignment="1"/>
    <xf numFmtId="0" fontId="69" fillId="28" borderId="37" xfId="0" applyFont="1" applyFill="1" applyBorder="1" applyAlignment="1">
      <alignment horizontal="left"/>
    </xf>
    <xf numFmtId="0" fontId="69" fillId="31" borderId="51" xfId="0" applyFont="1" applyFill="1" applyBorder="1"/>
    <xf numFmtId="0" fontId="69" fillId="31" borderId="36" xfId="0" applyFont="1" applyFill="1" applyBorder="1"/>
    <xf numFmtId="0" fontId="69" fillId="31" borderId="52" xfId="0" applyFont="1" applyFill="1" applyBorder="1"/>
    <xf numFmtId="0" fontId="69" fillId="31" borderId="37" xfId="0" applyFont="1" applyFill="1" applyBorder="1"/>
    <xf numFmtId="169" fontId="69" fillId="31" borderId="37" xfId="0" applyNumberFormat="1" applyFont="1" applyFill="1" applyBorder="1" applyAlignment="1">
      <alignment horizontal="left"/>
    </xf>
    <xf numFmtId="0" fontId="69" fillId="0" borderId="54" xfId="0" applyFont="1" applyBorder="1" applyAlignment="1">
      <alignment horizontal="center"/>
    </xf>
    <xf numFmtId="0" fontId="69" fillId="0" borderId="55" xfId="0" applyFont="1" applyBorder="1"/>
    <xf numFmtId="0" fontId="69" fillId="31" borderId="53" xfId="0" applyFont="1" applyFill="1" applyBorder="1"/>
    <xf numFmtId="0" fontId="69" fillId="31" borderId="17" xfId="0" applyFont="1" applyFill="1" applyBorder="1"/>
    <xf numFmtId="0" fontId="69" fillId="28" borderId="37" xfId="0" applyFont="1" applyFill="1" applyBorder="1"/>
    <xf numFmtId="14" fontId="69" fillId="28" borderId="37" xfId="0" applyNumberFormat="1" applyFont="1" applyFill="1" applyBorder="1"/>
    <xf numFmtId="0" fontId="69" fillId="28" borderId="53" xfId="0" applyFont="1" applyFill="1" applyBorder="1"/>
    <xf numFmtId="0" fontId="69" fillId="28" borderId="17" xfId="0" applyFont="1" applyFill="1" applyBorder="1"/>
    <xf numFmtId="9" fontId="69" fillId="28" borderId="37" xfId="0" applyNumberFormat="1" applyFont="1" applyFill="1" applyBorder="1" applyAlignment="1">
      <alignment horizontal="center"/>
    </xf>
    <xf numFmtId="0" fontId="71" fillId="32" borderId="0" xfId="0" applyFont="1" applyFill="1" applyBorder="1" applyAlignment="1">
      <alignment vertical="center"/>
    </xf>
    <xf numFmtId="0" fontId="71" fillId="32" borderId="21" xfId="0" applyFont="1" applyFill="1" applyBorder="1" applyAlignment="1">
      <alignment vertical="center"/>
    </xf>
    <xf numFmtId="0" fontId="72" fillId="32" borderId="18" xfId="0" applyFont="1" applyFill="1" applyBorder="1" applyAlignment="1"/>
    <xf numFmtId="0" fontId="71" fillId="32" borderId="36" xfId="0" applyFont="1" applyFill="1" applyBorder="1" applyAlignment="1">
      <alignment vertical="center"/>
    </xf>
    <xf numFmtId="0" fontId="73" fillId="32" borderId="0" xfId="0" applyFont="1" applyFill="1" applyBorder="1" applyAlignment="1"/>
    <xf numFmtId="0" fontId="71" fillId="32" borderId="37" xfId="0" applyFont="1" applyFill="1" applyBorder="1" applyAlignment="1">
      <alignment vertical="center"/>
    </xf>
    <xf numFmtId="0" fontId="74" fillId="32" borderId="0" xfId="0" applyFont="1" applyFill="1" applyBorder="1" applyAlignment="1">
      <alignment wrapText="1"/>
    </xf>
    <xf numFmtId="0" fontId="75" fillId="32" borderId="1" xfId="0" applyFont="1" applyFill="1" applyBorder="1" applyAlignment="1">
      <alignment horizontal="center" vertical="center" wrapText="1"/>
    </xf>
    <xf numFmtId="0" fontId="72" fillId="32" borderId="0" xfId="0" applyFont="1" applyFill="1" applyBorder="1" applyAlignment="1"/>
    <xf numFmtId="0" fontId="75" fillId="32" borderId="2" xfId="0" applyFont="1" applyFill="1" applyBorder="1"/>
    <xf numFmtId="9" fontId="75" fillId="32" borderId="0" xfId="2" applyFont="1" applyFill="1" applyBorder="1" applyAlignment="1">
      <alignment horizontal="center"/>
    </xf>
    <xf numFmtId="0" fontId="71" fillId="32" borderId="0" xfId="0" applyFont="1" applyFill="1" applyBorder="1" applyAlignment="1">
      <alignment horizontal="center" vertical="center"/>
    </xf>
    <xf numFmtId="0" fontId="75" fillId="32" borderId="38" xfId="0" applyFont="1" applyFill="1" applyBorder="1"/>
    <xf numFmtId="0" fontId="75" fillId="32" borderId="21" xfId="0" applyFont="1" applyFill="1" applyBorder="1"/>
    <xf numFmtId="0" fontId="71" fillId="32" borderId="39" xfId="0" applyFont="1" applyFill="1" applyBorder="1" applyAlignment="1">
      <alignment vertical="center"/>
    </xf>
    <xf numFmtId="0" fontId="76" fillId="28" borderId="0" xfId="0" applyFont="1" applyFill="1" applyBorder="1" applyAlignment="1">
      <alignment vertical="center"/>
    </xf>
    <xf numFmtId="0" fontId="76" fillId="32" borderId="0" xfId="0" applyFont="1" applyFill="1" applyBorder="1" applyAlignment="1">
      <alignment vertical="center"/>
    </xf>
    <xf numFmtId="0" fontId="77" fillId="32" borderId="16" xfId="0" applyFont="1" applyFill="1" applyBorder="1" applyAlignment="1"/>
    <xf numFmtId="0" fontId="78" fillId="32" borderId="2" xfId="0" applyFont="1" applyFill="1" applyBorder="1" applyAlignment="1"/>
    <xf numFmtId="0" fontId="79" fillId="32" borderId="2" xfId="0" applyFont="1" applyFill="1" applyBorder="1" applyAlignment="1">
      <alignment vertical="center"/>
    </xf>
    <xf numFmtId="0" fontId="77" fillId="32" borderId="2" xfId="0" applyFont="1" applyFill="1" applyBorder="1" applyAlignment="1"/>
    <xf numFmtId="0" fontId="30" fillId="30" borderId="1" xfId="0" applyFont="1" applyFill="1" applyBorder="1" applyAlignment="1">
      <alignment horizontal="center" vertical="center" wrapText="1"/>
    </xf>
    <xf numFmtId="0" fontId="57" fillId="25" borderId="18" xfId="0" applyFont="1" applyFill="1" applyBorder="1" applyAlignment="1">
      <alignment horizontal="center" vertical="top" wrapText="1"/>
    </xf>
    <xf numFmtId="0" fontId="57" fillId="25" borderId="47" xfId="0" applyFont="1" applyFill="1" applyBorder="1" applyAlignment="1">
      <alignment horizontal="center" vertical="top"/>
    </xf>
    <xf numFmtId="0" fontId="57" fillId="25" borderId="48" xfId="0" applyFont="1" applyFill="1" applyBorder="1" applyAlignment="1">
      <alignment horizontal="center" vertical="top"/>
    </xf>
    <xf numFmtId="0" fontId="57" fillId="25" borderId="44" xfId="0" applyFont="1" applyFill="1" applyBorder="1" applyAlignment="1">
      <alignment horizontal="center" vertical="top"/>
    </xf>
    <xf numFmtId="0" fontId="57" fillId="25" borderId="45" xfId="0" applyFont="1" applyFill="1" applyBorder="1" applyAlignment="1">
      <alignment horizontal="center" vertical="top"/>
    </xf>
    <xf numFmtId="0" fontId="57" fillId="25" borderId="3" xfId="0" applyFont="1" applyFill="1" applyBorder="1" applyAlignment="1">
      <alignment horizontal="center" vertical="top"/>
    </xf>
    <xf numFmtId="0" fontId="57" fillId="25" borderId="17" xfId="0" applyFont="1" applyFill="1" applyBorder="1" applyAlignment="1">
      <alignment horizontal="center" vertical="top"/>
    </xf>
    <xf numFmtId="0" fontId="70" fillId="31" borderId="7" xfId="0" applyFont="1" applyFill="1" applyBorder="1" applyAlignment="1">
      <alignment horizontal="center" vertical="center" textRotation="135"/>
    </xf>
    <xf numFmtId="0" fontId="0" fillId="25" borderId="3" xfId="0" applyFill="1" applyBorder="1"/>
    <xf numFmtId="0" fontId="0" fillId="25" borderId="0" xfId="0" applyFill="1"/>
    <xf numFmtId="0" fontId="69" fillId="25" borderId="0" xfId="0" applyFont="1" applyFill="1" applyBorder="1" applyAlignment="1"/>
    <xf numFmtId="0" fontId="69" fillId="25" borderId="0" xfId="0" applyFont="1" applyFill="1"/>
    <xf numFmtId="0" fontId="69" fillId="25" borderId="0" xfId="0" applyFont="1" applyFill="1" applyAlignment="1"/>
    <xf numFmtId="0" fontId="69" fillId="25" borderId="0" xfId="0" applyFont="1" applyFill="1" applyAlignment="1">
      <alignment horizontal="left"/>
    </xf>
    <xf numFmtId="0" fontId="32" fillId="25" borderId="0" xfId="0" applyFont="1" applyFill="1"/>
    <xf numFmtId="0" fontId="0" fillId="0" borderId="2" xfId="0" applyBorder="1"/>
    <xf numFmtId="0" fontId="0" fillId="0" borderId="0" xfId="0" applyBorder="1"/>
    <xf numFmtId="0" fontId="0" fillId="0" borderId="37" xfId="0" applyBorder="1"/>
    <xf numFmtId="0" fontId="0" fillId="0" borderId="12" xfId="0" applyBorder="1"/>
    <xf numFmtId="0" fontId="0" fillId="0" borderId="17" xfId="0" applyBorder="1"/>
    <xf numFmtId="0" fontId="0" fillId="0" borderId="4" xfId="0" applyBorder="1"/>
    <xf numFmtId="0" fontId="0" fillId="0" borderId="16" xfId="0" applyBorder="1"/>
    <xf numFmtId="0" fontId="0" fillId="0" borderId="36" xfId="0" applyBorder="1"/>
    <xf numFmtId="0" fontId="70" fillId="0" borderId="2" xfId="0" applyFont="1" applyFill="1" applyBorder="1" applyAlignment="1">
      <alignment vertical="center" textRotation="135"/>
    </xf>
    <xf numFmtId="0" fontId="70" fillId="0" borderId="0" xfId="0" applyFont="1" applyFill="1" applyBorder="1" applyAlignment="1">
      <alignment vertical="center" textRotation="135"/>
    </xf>
    <xf numFmtId="0" fontId="0" fillId="0" borderId="18" xfId="0" applyFill="1" applyBorder="1"/>
    <xf numFmtId="0" fontId="0" fillId="0" borderId="2" xfId="0" applyFill="1" applyBorder="1"/>
    <xf numFmtId="0" fontId="0" fillId="0" borderId="3" xfId="0" applyFill="1" applyBorder="1"/>
    <xf numFmtId="0" fontId="70" fillId="26" borderId="60" xfId="0" applyFont="1" applyFill="1" applyBorder="1" applyAlignment="1">
      <alignment vertical="center" textRotation="135"/>
    </xf>
    <xf numFmtId="0" fontId="0" fillId="26" borderId="0" xfId="0" applyFill="1" applyBorder="1"/>
    <xf numFmtId="0" fontId="60" fillId="0" borderId="0" xfId="0" quotePrefix="1" applyFont="1" applyAlignment="1">
      <alignment horizontal="center" vertical="top"/>
    </xf>
    <xf numFmtId="0" fontId="69" fillId="34" borderId="56" xfId="0" applyFont="1" applyFill="1" applyBorder="1"/>
    <xf numFmtId="0" fontId="69" fillId="33" borderId="64" xfId="0" applyFont="1" applyFill="1" applyBorder="1" applyAlignment="1">
      <alignment horizontal="center"/>
    </xf>
    <xf numFmtId="0" fontId="61" fillId="35" borderId="0" xfId="0" applyFont="1" applyFill="1"/>
    <xf numFmtId="0" fontId="84" fillId="25" borderId="0" xfId="0" applyFont="1" applyFill="1"/>
    <xf numFmtId="0" fontId="84" fillId="25" borderId="18" xfId="0" applyFont="1" applyFill="1" applyBorder="1"/>
    <xf numFmtId="0" fontId="84" fillId="25" borderId="36" xfId="0" applyFont="1" applyFill="1" applyBorder="1"/>
    <xf numFmtId="0" fontId="84" fillId="25" borderId="2" xfId="0" applyFont="1" applyFill="1" applyBorder="1"/>
    <xf numFmtId="0" fontId="84" fillId="25" borderId="0" xfId="0" applyFont="1" applyFill="1" applyBorder="1"/>
    <xf numFmtId="0" fontId="84" fillId="25" borderId="37" xfId="0" applyFont="1" applyFill="1" applyBorder="1"/>
    <xf numFmtId="0" fontId="84" fillId="25" borderId="12" xfId="0" applyFont="1" applyFill="1" applyBorder="1"/>
    <xf numFmtId="0" fontId="84" fillId="25" borderId="3" xfId="0" applyFont="1" applyFill="1" applyBorder="1"/>
    <xf numFmtId="0" fontId="84" fillId="25" borderId="17" xfId="0" applyFont="1" applyFill="1" applyBorder="1"/>
    <xf numFmtId="0" fontId="64" fillId="25" borderId="12" xfId="0" applyFont="1" applyFill="1" applyBorder="1"/>
    <xf numFmtId="0" fontId="64" fillId="25" borderId="3" xfId="0" applyFont="1" applyFill="1" applyBorder="1"/>
    <xf numFmtId="0" fontId="55" fillId="25" borderId="18" xfId="0" applyFont="1" applyFill="1" applyBorder="1"/>
    <xf numFmtId="0" fontId="64" fillId="25" borderId="67" xfId="0" applyFont="1" applyFill="1" applyBorder="1"/>
    <xf numFmtId="0" fontId="64" fillId="25" borderId="40" xfId="0" applyFont="1" applyFill="1" applyBorder="1"/>
    <xf numFmtId="0" fontId="48" fillId="25" borderId="40" xfId="0" applyFont="1" applyFill="1" applyBorder="1" applyAlignment="1">
      <alignment horizontal="center" wrapText="1"/>
    </xf>
    <xf numFmtId="0" fontId="88" fillId="35" borderId="0" xfId="0" applyFont="1" applyFill="1"/>
    <xf numFmtId="0" fontId="89" fillId="25" borderId="16" xfId="0" applyFont="1" applyFill="1" applyBorder="1"/>
    <xf numFmtId="0" fontId="89" fillId="25" borderId="2" xfId="0" applyFont="1" applyFill="1" applyBorder="1"/>
    <xf numFmtId="0" fontId="89" fillId="25" borderId="12" xfId="0" applyFont="1" applyFill="1" applyBorder="1"/>
    <xf numFmtId="0" fontId="84" fillId="25" borderId="67" xfId="0" applyFont="1" applyFill="1" applyBorder="1"/>
    <xf numFmtId="0" fontId="84" fillId="25" borderId="40" xfId="0" applyFont="1" applyFill="1" applyBorder="1"/>
    <xf numFmtId="14" fontId="82" fillId="25" borderId="0" xfId="0" applyNumberFormat="1" applyFont="1" applyFill="1" applyAlignment="1">
      <alignment textRotation="90"/>
    </xf>
    <xf numFmtId="0" fontId="90" fillId="25" borderId="2" xfId="0" applyFont="1" applyFill="1" applyBorder="1"/>
    <xf numFmtId="0" fontId="90" fillId="25" borderId="0" xfId="0" applyFont="1" applyFill="1" applyBorder="1"/>
    <xf numFmtId="0" fontId="0" fillId="25" borderId="0" xfId="0" applyFill="1" applyBorder="1"/>
    <xf numFmtId="0" fontId="68" fillId="26" borderId="78" xfId="0" applyFont="1" applyFill="1" applyBorder="1" applyAlignment="1">
      <alignment horizontal="center"/>
    </xf>
    <xf numFmtId="0" fontId="69" fillId="31" borderId="2" xfId="0" applyFont="1" applyFill="1" applyBorder="1" applyAlignment="1"/>
    <xf numFmtId="0" fontId="69" fillId="31" borderId="2" xfId="0" applyFont="1" applyFill="1" applyBorder="1"/>
    <xf numFmtId="0" fontId="69" fillId="31" borderId="12" xfId="0" applyFont="1" applyFill="1" applyBorder="1"/>
    <xf numFmtId="0" fontId="0" fillId="31" borderId="6" xfId="0" applyFill="1" applyBorder="1"/>
    <xf numFmtId="0" fontId="0" fillId="31" borderId="7" xfId="0" applyFill="1" applyBorder="1"/>
    <xf numFmtId="0" fontId="0" fillId="28" borderId="0" xfId="0" applyFill="1"/>
    <xf numFmtId="0" fontId="69" fillId="28" borderId="2" xfId="0" applyFont="1" applyFill="1" applyBorder="1"/>
    <xf numFmtId="0" fontId="69" fillId="28" borderId="12" xfId="0" applyFont="1" applyFill="1" applyBorder="1"/>
    <xf numFmtId="0" fontId="69" fillId="31" borderId="80" xfId="0" applyFont="1" applyFill="1" applyBorder="1"/>
    <xf numFmtId="0" fontId="69" fillId="31" borderId="79" xfId="0" applyFont="1" applyFill="1" applyBorder="1"/>
    <xf numFmtId="0" fontId="69" fillId="28" borderId="80" xfId="0" applyFont="1" applyFill="1" applyBorder="1"/>
    <xf numFmtId="14" fontId="69" fillId="28" borderId="80" xfId="0" applyNumberFormat="1" applyFont="1" applyFill="1" applyBorder="1"/>
    <xf numFmtId="0" fontId="90" fillId="25" borderId="0" xfId="0" applyFont="1" applyFill="1"/>
    <xf numFmtId="43" fontId="91" fillId="25" borderId="67" xfId="7" applyFont="1" applyFill="1" applyBorder="1"/>
    <xf numFmtId="43" fontId="91" fillId="25" borderId="68" xfId="7" applyFont="1" applyFill="1" applyBorder="1"/>
    <xf numFmtId="43" fontId="91" fillId="25" borderId="40" xfId="7" applyFont="1" applyFill="1" applyBorder="1"/>
    <xf numFmtId="43" fontId="91" fillId="25" borderId="66" xfId="7" applyFont="1" applyFill="1" applyBorder="1"/>
    <xf numFmtId="43" fontId="91" fillId="25" borderId="65" xfId="7" applyFont="1" applyFill="1" applyBorder="1"/>
    <xf numFmtId="43" fontId="91" fillId="25" borderId="3" xfId="7" applyFont="1" applyFill="1" applyBorder="1"/>
    <xf numFmtId="44" fontId="92" fillId="25" borderId="17" xfId="1" applyFont="1" applyFill="1" applyBorder="1"/>
    <xf numFmtId="0" fontId="10" fillId="25" borderId="3" xfId="0" applyFont="1" applyFill="1" applyBorder="1"/>
    <xf numFmtId="0" fontId="10" fillId="25" borderId="0" xfId="0" applyFont="1" applyFill="1"/>
    <xf numFmtId="167" fontId="48" fillId="27" borderId="25" xfId="1" applyNumberFormat="1" applyFont="1" applyFill="1" applyBorder="1" applyAlignment="1">
      <alignment horizontal="center" vertical="center" wrapText="1"/>
    </xf>
    <xf numFmtId="167" fontId="48" fillId="27" borderId="24" xfId="1" applyNumberFormat="1" applyFont="1" applyFill="1" applyBorder="1" applyAlignment="1">
      <alignment horizontal="center" vertical="center" wrapText="1"/>
    </xf>
    <xf numFmtId="0" fontId="94" fillId="32" borderId="0" xfId="0" applyFont="1" applyFill="1" applyBorder="1" applyAlignment="1">
      <alignment vertical="center"/>
    </xf>
    <xf numFmtId="0" fontId="49" fillId="25" borderId="0" xfId="0" applyFont="1" applyFill="1"/>
    <xf numFmtId="0" fontId="95" fillId="25" borderId="0" xfId="0" applyFont="1" applyFill="1"/>
    <xf numFmtId="0" fontId="96" fillId="25" borderId="0" xfId="0" applyFont="1" applyFill="1"/>
    <xf numFmtId="0" fontId="0" fillId="36" borderId="0" xfId="0" applyFill="1"/>
    <xf numFmtId="0" fontId="97" fillId="0" borderId="0" xfId="0" applyFont="1" applyBorder="1"/>
    <xf numFmtId="0" fontId="97" fillId="0" borderId="1" xfId="0" applyFont="1" applyBorder="1"/>
    <xf numFmtId="0" fontId="97" fillId="0" borderId="1" xfId="0" applyFont="1" applyFill="1" applyBorder="1"/>
    <xf numFmtId="0" fontId="97" fillId="0" borderId="0" xfId="0" applyFont="1" applyFill="1" applyBorder="1"/>
    <xf numFmtId="0" fontId="97" fillId="0" borderId="6" xfId="0" applyFont="1" applyFill="1" applyBorder="1"/>
    <xf numFmtId="0" fontId="97" fillId="0" borderId="0" xfId="0" applyFont="1" applyFill="1" applyBorder="1" applyAlignment="1">
      <alignment wrapText="1"/>
    </xf>
    <xf numFmtId="0" fontId="97" fillId="0" borderId="2" xfId="0" applyFont="1" applyFill="1" applyBorder="1" applyAlignment="1">
      <alignment wrapText="1"/>
    </xf>
    <xf numFmtId="0" fontId="97" fillId="0" borderId="2" xfId="0" applyFont="1" applyFill="1" applyBorder="1"/>
    <xf numFmtId="0" fontId="97" fillId="0" borderId="37" xfId="0" applyFont="1" applyFill="1" applyBorder="1"/>
    <xf numFmtId="0" fontId="11" fillId="36" borderId="14" xfId="3" applyFont="1" applyFill="1" applyBorder="1" applyAlignment="1" applyProtection="1">
      <alignment horizontal="left" vertical="center" wrapText="1"/>
      <protection locked="0"/>
    </xf>
    <xf numFmtId="0" fontId="11" fillId="0" borderId="16" xfId="3" applyFont="1" applyFill="1" applyBorder="1" applyAlignment="1" applyProtection="1">
      <alignment horizontal="left" vertical="center" wrapText="1"/>
      <protection locked="0"/>
    </xf>
    <xf numFmtId="0" fontId="97" fillId="0" borderId="4" xfId="0" applyFont="1" applyFill="1" applyBorder="1"/>
    <xf numFmtId="0" fontId="97" fillId="0" borderId="16" xfId="0" applyFont="1" applyFill="1" applyBorder="1"/>
    <xf numFmtId="0" fontId="97" fillId="0" borderId="18" xfId="0" applyFont="1" applyFill="1" applyBorder="1"/>
    <xf numFmtId="0" fontId="97" fillId="0" borderId="36" xfId="0" applyFont="1" applyFill="1" applyBorder="1"/>
    <xf numFmtId="0" fontId="11" fillId="0" borderId="2" xfId="3" applyFont="1" applyFill="1" applyBorder="1" applyAlignment="1" applyProtection="1">
      <alignment horizontal="left" vertical="center" wrapText="1"/>
      <protection locked="0"/>
    </xf>
    <xf numFmtId="0" fontId="11" fillId="0" borderId="2" xfId="3" applyFont="1" applyFill="1" applyBorder="1" applyAlignment="1" applyProtection="1">
      <alignment vertical="center" wrapText="1"/>
      <protection locked="0"/>
    </xf>
    <xf numFmtId="0" fontId="11" fillId="36" borderId="14" xfId="3" applyFont="1" applyFill="1" applyBorder="1" applyAlignment="1" applyProtection="1">
      <alignment vertical="center" wrapText="1"/>
      <protection locked="0"/>
    </xf>
    <xf numFmtId="0" fontId="97" fillId="0" borderId="7" xfId="0" applyFont="1" applyFill="1" applyBorder="1"/>
    <xf numFmtId="0" fontId="97" fillId="0" borderId="12" xfId="0" applyFont="1" applyFill="1" applyBorder="1"/>
    <xf numFmtId="0" fontId="97" fillId="0" borderId="3" xfId="0" applyFont="1" applyFill="1" applyBorder="1"/>
    <xf numFmtId="0" fontId="97" fillId="0" borderId="17" xfId="0" applyFont="1" applyFill="1" applyBorder="1"/>
    <xf numFmtId="0" fontId="93" fillId="36" borderId="0" xfId="0" applyFont="1" applyFill="1"/>
    <xf numFmtId="0" fontId="97" fillId="36" borderId="0" xfId="0" applyFont="1" applyFill="1"/>
    <xf numFmtId="0" fontId="28" fillId="36" borderId="14" xfId="3" applyFont="1" applyFill="1" applyBorder="1" applyAlignment="1" applyProtection="1">
      <alignment horizontal="left" vertical="center" wrapText="1"/>
      <protection locked="0"/>
    </xf>
    <xf numFmtId="0" fontId="11" fillId="0" borderId="12" xfId="3" applyFont="1" applyFill="1" applyBorder="1" applyAlignment="1" applyProtection="1">
      <alignment horizontal="left" vertical="center" wrapText="1"/>
      <protection locked="0"/>
    </xf>
    <xf numFmtId="0" fontId="93" fillId="0" borderId="0" xfId="0" applyFont="1"/>
    <xf numFmtId="0" fontId="0" fillId="0" borderId="0" xfId="0" applyFill="1"/>
    <xf numFmtId="0" fontId="93" fillId="0" borderId="1" xfId="0" applyFont="1" applyBorder="1"/>
    <xf numFmtId="0" fontId="93" fillId="0" borderId="3" xfId="0" applyFont="1" applyBorder="1"/>
    <xf numFmtId="0" fontId="93" fillId="0" borderId="17" xfId="0" applyFont="1" applyBorder="1"/>
    <xf numFmtId="0" fontId="97" fillId="0" borderId="0" xfId="0" applyFont="1"/>
    <xf numFmtId="0" fontId="93" fillId="0" borderId="2" xfId="0" applyFont="1" applyBorder="1"/>
    <xf numFmtId="0" fontId="93" fillId="0" borderId="0" xfId="0" applyFont="1" applyBorder="1"/>
    <xf numFmtId="0" fontId="99" fillId="0" borderId="0" xfId="0" applyFont="1" applyBorder="1" applyAlignment="1">
      <alignment horizontal="center" vertical="center"/>
    </xf>
    <xf numFmtId="0" fontId="99" fillId="0" borderId="0" xfId="0" applyFont="1" applyBorder="1" applyAlignment="1">
      <alignment vertical="center" wrapText="1"/>
    </xf>
    <xf numFmtId="8" fontId="99" fillId="0" borderId="0" xfId="0" applyNumberFormat="1" applyFont="1" applyBorder="1" applyAlignment="1">
      <alignment horizontal="right" vertical="center"/>
    </xf>
    <xf numFmtId="0" fontId="97" fillId="0" borderId="7" xfId="0" applyFont="1" applyBorder="1"/>
    <xf numFmtId="0" fontId="97" fillId="0" borderId="12" xfId="0" applyFont="1" applyBorder="1"/>
    <xf numFmtId="0" fontId="97" fillId="0" borderId="3" xfId="0" applyFont="1" applyBorder="1"/>
    <xf numFmtId="0" fontId="97" fillId="0" borderId="17" xfId="0" applyFont="1" applyBorder="1"/>
    <xf numFmtId="0" fontId="93" fillId="0" borderId="16" xfId="0" applyFont="1" applyFill="1" applyBorder="1"/>
    <xf numFmtId="0" fontId="0" fillId="0" borderId="37" xfId="0" applyFill="1" applyBorder="1"/>
    <xf numFmtId="0" fontId="0" fillId="0" borderId="13" xfId="0" applyBorder="1" applyAlignment="1"/>
    <xf numFmtId="0" fontId="0" fillId="0" borderId="14" xfId="0" applyBorder="1" applyAlignment="1"/>
    <xf numFmtId="0" fontId="0" fillId="0" borderId="15" xfId="0" applyBorder="1" applyAlignment="1"/>
    <xf numFmtId="0" fontId="97" fillId="0" borderId="13" xfId="0" applyFont="1" applyFill="1" applyBorder="1" applyAlignment="1">
      <alignment vertical="center"/>
    </xf>
    <xf numFmtId="0" fontId="30" fillId="0" borderId="0" xfId="0" applyFont="1" applyFill="1" applyBorder="1"/>
    <xf numFmtId="0" fontId="40" fillId="0" borderId="0" xfId="0" applyFont="1" applyFill="1" applyBorder="1"/>
    <xf numFmtId="0" fontId="38" fillId="0" borderId="0" xfId="0" applyFont="1" applyFill="1" applyBorder="1" applyAlignment="1">
      <alignment horizontal="center" vertical="center" wrapText="1"/>
    </xf>
    <xf numFmtId="0" fontId="30" fillId="0" borderId="0" xfId="0" applyFont="1" applyFill="1" applyBorder="1" applyAlignment="1">
      <alignment horizontal="left" vertical="top" wrapText="1"/>
    </xf>
    <xf numFmtId="0" fontId="75" fillId="32" borderId="2" xfId="0" applyFont="1" applyFill="1" applyBorder="1" applyAlignment="1">
      <alignment horizontal="center" vertical="center" wrapText="1"/>
    </xf>
    <xf numFmtId="0" fontId="97" fillId="0" borderId="0" xfId="0" applyFont="1" applyFill="1" applyBorder="1" applyAlignment="1"/>
    <xf numFmtId="0" fontId="54" fillId="27" borderId="22" xfId="0" applyFont="1" applyFill="1" applyBorder="1" applyAlignment="1">
      <alignment horizontal="center" vertical="center" wrapText="1"/>
    </xf>
    <xf numFmtId="0" fontId="54" fillId="27" borderId="24" xfId="0" applyFont="1" applyFill="1" applyBorder="1" applyAlignment="1">
      <alignment horizontal="center" vertical="center" wrapText="1"/>
    </xf>
    <xf numFmtId="0" fontId="54" fillId="27" borderId="25" xfId="0" applyFont="1" applyFill="1" applyBorder="1" applyAlignment="1">
      <alignment horizontal="center" vertical="center" wrapText="1"/>
    </xf>
    <xf numFmtId="0" fontId="81" fillId="0" borderId="0" xfId="8"/>
    <xf numFmtId="9" fontId="75" fillId="32" borderId="29" xfId="2" applyFont="1" applyFill="1" applyBorder="1" applyAlignment="1">
      <alignment horizontal="center"/>
    </xf>
    <xf numFmtId="9" fontId="75" fillId="32" borderId="30" xfId="2" applyFont="1" applyFill="1" applyBorder="1" applyAlignment="1">
      <alignment horizontal="center"/>
    </xf>
    <xf numFmtId="0" fontId="97" fillId="0" borderId="0" xfId="0" applyFont="1" applyFill="1"/>
    <xf numFmtId="0" fontId="97" fillId="0" borderId="16" xfId="0" applyFont="1" applyFill="1" applyBorder="1" applyAlignment="1">
      <alignment vertical="center"/>
    </xf>
    <xf numFmtId="0" fontId="70" fillId="31" borderId="0" xfId="0" applyFont="1" applyFill="1" applyBorder="1" applyAlignment="1">
      <alignment horizontal="center" vertical="center" textRotation="135"/>
    </xf>
    <xf numFmtId="0" fontId="11" fillId="7" borderId="0" xfId="3" applyFont="1" applyFill="1" applyBorder="1" applyAlignment="1" applyProtection="1">
      <alignment horizontal="left" vertical="center" wrapText="1"/>
      <protection locked="0"/>
    </xf>
    <xf numFmtId="0" fontId="97" fillId="0" borderId="16" xfId="0" applyFont="1" applyFill="1" applyBorder="1" applyAlignment="1">
      <alignment vertical="center" wrapText="1"/>
    </xf>
    <xf numFmtId="0" fontId="0" fillId="0" borderId="3" xfId="0" applyBorder="1" applyAlignment="1"/>
    <xf numFmtId="0" fontId="97" fillId="11" borderId="1" xfId="0" applyFont="1" applyFill="1" applyBorder="1"/>
    <xf numFmtId="0" fontId="97" fillId="11" borderId="2" xfId="0" applyFont="1" applyFill="1" applyBorder="1" applyAlignment="1">
      <alignment wrapText="1"/>
    </xf>
    <xf numFmtId="0" fontId="97" fillId="37" borderId="1" xfId="0" applyFont="1" applyFill="1" applyBorder="1"/>
    <xf numFmtId="0" fontId="97" fillId="37" borderId="0" xfId="0" applyFont="1" applyFill="1" applyBorder="1" applyAlignment="1">
      <alignment wrapText="1"/>
    </xf>
    <xf numFmtId="0" fontId="0" fillId="0" borderId="0" xfId="0" applyFont="1"/>
    <xf numFmtId="0" fontId="0" fillId="0" borderId="3" xfId="0" applyFill="1" applyBorder="1" applyAlignment="1"/>
    <xf numFmtId="0" fontId="81" fillId="28" borderId="80" xfId="8" applyFill="1" applyBorder="1"/>
    <xf numFmtId="0" fontId="0" fillId="28" borderId="7" xfId="0" applyFill="1" applyBorder="1"/>
    <xf numFmtId="0" fontId="69" fillId="28" borderId="79" xfId="0" applyFont="1" applyFill="1" applyBorder="1"/>
    <xf numFmtId="0" fontId="0" fillId="0" borderId="83" xfId="0" applyBorder="1"/>
    <xf numFmtId="0" fontId="0" fillId="0" borderId="65" xfId="0" applyBorder="1"/>
    <xf numFmtId="0" fontId="0" fillId="0" borderId="84" xfId="0" applyBorder="1"/>
    <xf numFmtId="0" fontId="0" fillId="0" borderId="40" xfId="0" applyBorder="1"/>
    <xf numFmtId="0" fontId="0" fillId="0" borderId="85" xfId="0" applyBorder="1"/>
    <xf numFmtId="0" fontId="0" fillId="0" borderId="86" xfId="0" applyBorder="1"/>
    <xf numFmtId="0" fontId="0" fillId="15" borderId="87" xfId="0" applyFill="1" applyBorder="1"/>
    <xf numFmtId="9" fontId="30" fillId="7" borderId="1" xfId="2" applyFont="1" applyFill="1" applyBorder="1" applyAlignment="1">
      <alignment horizontal="center" vertical="center" wrapText="1"/>
    </xf>
    <xf numFmtId="0" fontId="0" fillId="15" borderId="0" xfId="0" applyFill="1" applyAlignment="1">
      <alignment horizontal="center"/>
    </xf>
    <xf numFmtId="0" fontId="0" fillId="0" borderId="0" xfId="0" applyFill="1" applyAlignment="1"/>
    <xf numFmtId="0" fontId="0" fillId="11" borderId="0" xfId="0" applyFill="1"/>
    <xf numFmtId="0" fontId="0" fillId="15" borderId="0" xfId="0" applyFill="1"/>
    <xf numFmtId="0" fontId="12" fillId="15" borderId="0" xfId="3" applyFont="1" applyFill="1" applyBorder="1" applyAlignment="1" applyProtection="1">
      <alignment vertical="center" wrapText="1"/>
      <protection locked="0"/>
    </xf>
    <xf numFmtId="0" fontId="12" fillId="15" borderId="0" xfId="3" applyFont="1" applyFill="1" applyBorder="1" applyAlignment="1" applyProtection="1">
      <alignment horizontal="left" vertical="center" wrapText="1"/>
      <protection locked="0"/>
    </xf>
    <xf numFmtId="0" fontId="0" fillId="37" borderId="0" xfId="0" applyFill="1"/>
    <xf numFmtId="0" fontId="0" fillId="37" borderId="0" xfId="0" applyFill="1" applyAlignment="1">
      <alignment horizontal="center"/>
    </xf>
    <xf numFmtId="0" fontId="0" fillId="37" borderId="87" xfId="0" applyFill="1" applyBorder="1"/>
    <xf numFmtId="0" fontId="97" fillId="28" borderId="0" xfId="0" applyFont="1" applyFill="1"/>
    <xf numFmtId="0" fontId="97" fillId="38" borderId="0" xfId="0" applyFont="1" applyFill="1"/>
    <xf numFmtId="0" fontId="0" fillId="38" borderId="0" xfId="0" applyFill="1"/>
    <xf numFmtId="0" fontId="0" fillId="17" borderId="0" xfId="0" applyFill="1"/>
    <xf numFmtId="0" fontId="0" fillId="31" borderId="0" xfId="0" applyFill="1"/>
    <xf numFmtId="0" fontId="70" fillId="28" borderId="4" xfId="0" applyFont="1" applyFill="1" applyBorder="1" applyAlignment="1">
      <alignment horizontal="center" vertical="center" textRotation="135"/>
    </xf>
    <xf numFmtId="0" fontId="70" fillId="28" borderId="6" xfId="0" applyFont="1" applyFill="1" applyBorder="1" applyAlignment="1">
      <alignment horizontal="center" vertical="center" textRotation="135"/>
    </xf>
    <xf numFmtId="0" fontId="70" fillId="28" borderId="7" xfId="0" applyFont="1" applyFill="1" applyBorder="1" applyAlignment="1">
      <alignment horizontal="center" vertical="center" textRotation="135"/>
    </xf>
    <xf numFmtId="0" fontId="10" fillId="25" borderId="16" xfId="0" applyFont="1" applyFill="1" applyBorder="1" applyAlignment="1">
      <alignment horizontal="center"/>
    </xf>
    <xf numFmtId="0" fontId="10" fillId="25" borderId="36" xfId="0" applyFont="1" applyFill="1" applyBorder="1" applyAlignment="1">
      <alignment horizontal="center"/>
    </xf>
    <xf numFmtId="0" fontId="10" fillId="25" borderId="18" xfId="0" applyFont="1" applyFill="1" applyBorder="1" applyAlignment="1">
      <alignment horizontal="center"/>
    </xf>
    <xf numFmtId="0" fontId="70" fillId="31" borderId="16" xfId="0" applyFont="1" applyFill="1" applyBorder="1" applyAlignment="1">
      <alignment horizontal="center" vertical="center" textRotation="135"/>
    </xf>
    <xf numFmtId="0" fontId="70" fillId="31" borderId="2" xfId="0" applyFont="1" applyFill="1" applyBorder="1" applyAlignment="1">
      <alignment horizontal="center" vertical="center" textRotation="135"/>
    </xf>
    <xf numFmtId="0" fontId="70" fillId="31" borderId="12" xfId="0" applyFont="1" applyFill="1" applyBorder="1" applyAlignment="1">
      <alignment horizontal="center" vertical="center" textRotation="135"/>
    </xf>
    <xf numFmtId="0" fontId="70" fillId="31" borderId="16" xfId="0" applyFont="1" applyFill="1" applyBorder="1" applyAlignment="1">
      <alignment horizontal="left" vertical="center" textRotation="135"/>
    </xf>
    <xf numFmtId="0" fontId="70" fillId="31" borderId="2" xfId="0" applyFont="1" applyFill="1" applyBorder="1" applyAlignment="1">
      <alignment horizontal="left" vertical="center" textRotation="135"/>
    </xf>
    <xf numFmtId="0" fontId="70" fillId="28" borderId="59" xfId="0" applyFont="1" applyFill="1" applyBorder="1" applyAlignment="1">
      <alignment horizontal="left" vertical="top" textRotation="135"/>
    </xf>
    <xf numFmtId="0" fontId="70" fillId="28" borderId="6" xfId="0" applyFont="1" applyFill="1" applyBorder="1" applyAlignment="1">
      <alignment horizontal="left" vertical="top" textRotation="135"/>
    </xf>
    <xf numFmtId="0" fontId="70" fillId="28" borderId="7" xfId="0" applyFont="1" applyFill="1" applyBorder="1" applyAlignment="1">
      <alignment horizontal="left" vertical="top" textRotation="135"/>
    </xf>
    <xf numFmtId="0" fontId="70" fillId="31" borderId="57" xfId="0" applyFont="1" applyFill="1" applyBorder="1" applyAlignment="1">
      <alignment horizontal="center" vertical="center" textRotation="135"/>
    </xf>
    <xf numFmtId="0" fontId="70" fillId="31" borderId="6" xfId="0" applyFont="1" applyFill="1" applyBorder="1" applyAlignment="1">
      <alignment horizontal="center" vertical="center" textRotation="135"/>
    </xf>
    <xf numFmtId="0" fontId="46" fillId="26" borderId="33" xfId="0" applyFont="1" applyFill="1" applyBorder="1" applyAlignment="1">
      <alignment horizontal="center" vertical="center"/>
    </xf>
    <xf numFmtId="0" fontId="46" fillId="26" borderId="34" xfId="0" applyFont="1" applyFill="1" applyBorder="1" applyAlignment="1">
      <alignment horizontal="center" vertical="center"/>
    </xf>
    <xf numFmtId="0" fontId="46" fillId="26" borderId="35" xfId="0" applyFont="1" applyFill="1" applyBorder="1" applyAlignment="1">
      <alignment horizontal="center" vertical="center"/>
    </xf>
    <xf numFmtId="9" fontId="71" fillId="32" borderId="29" xfId="2" applyFont="1" applyFill="1" applyBorder="1" applyAlignment="1">
      <alignment horizontal="center" vertical="center"/>
    </xf>
    <xf numFmtId="9" fontId="71" fillId="32" borderId="82" xfId="2" applyFont="1" applyFill="1" applyBorder="1" applyAlignment="1">
      <alignment horizontal="center" vertical="center"/>
    </xf>
    <xf numFmtId="0" fontId="0" fillId="0" borderId="0" xfId="0" applyAlignment="1">
      <alignment horizontal="center"/>
    </xf>
    <xf numFmtId="0" fontId="0" fillId="0" borderId="0" xfId="0" quotePrefix="1" applyAlignment="1">
      <alignment horizontal="center"/>
    </xf>
    <xf numFmtId="0" fontId="70" fillId="31" borderId="36" xfId="0" applyFont="1" applyFill="1" applyBorder="1" applyAlignment="1">
      <alignment horizontal="center" vertical="center" textRotation="135"/>
    </xf>
    <xf numFmtId="0" fontId="70" fillId="31" borderId="37" xfId="0" applyFont="1" applyFill="1" applyBorder="1" applyAlignment="1">
      <alignment horizontal="center" vertical="center" textRotation="135"/>
    </xf>
    <xf numFmtId="0" fontId="70" fillId="31" borderId="4" xfId="0" applyFont="1" applyFill="1" applyBorder="1" applyAlignment="1">
      <alignment horizontal="center" vertical="center" textRotation="135"/>
    </xf>
    <xf numFmtId="0" fontId="70" fillId="31" borderId="7" xfId="0" applyFont="1" applyFill="1" applyBorder="1" applyAlignment="1">
      <alignment horizontal="center" vertical="center" textRotation="135"/>
    </xf>
    <xf numFmtId="0" fontId="103" fillId="31" borderId="4" xfId="0" applyFont="1" applyFill="1" applyBorder="1" applyAlignment="1">
      <alignment horizontal="center" vertical="center"/>
    </xf>
    <xf numFmtId="0" fontId="103" fillId="31" borderId="7" xfId="0" applyFont="1" applyFill="1" applyBorder="1" applyAlignment="1">
      <alignment horizontal="center" vertical="center"/>
    </xf>
    <xf numFmtId="0" fontId="103" fillId="31" borderId="6" xfId="0" applyFont="1" applyFill="1" applyBorder="1" applyAlignment="1">
      <alignment horizontal="center" vertical="center"/>
    </xf>
    <xf numFmtId="0" fontId="70" fillId="31" borderId="81" xfId="0" applyFont="1" applyFill="1" applyBorder="1" applyAlignment="1">
      <alignment horizontal="center" vertical="center" textRotation="135"/>
    </xf>
    <xf numFmtId="0" fontId="70" fillId="31" borderId="8" xfId="0" applyFont="1" applyFill="1" applyBorder="1" applyAlignment="1">
      <alignment horizontal="center" vertical="center" textRotation="135"/>
    </xf>
    <xf numFmtId="0" fontId="70" fillId="31" borderId="61" xfId="0" applyFont="1" applyFill="1" applyBorder="1" applyAlignment="1">
      <alignment horizontal="center" vertical="center" textRotation="135"/>
    </xf>
    <xf numFmtId="0" fontId="0" fillId="0" borderId="3" xfId="0" applyFill="1" applyBorder="1" applyAlignment="1">
      <alignment horizontal="center"/>
    </xf>
    <xf numFmtId="0" fontId="48" fillId="25" borderId="0" xfId="0" applyFont="1" applyFill="1" applyBorder="1" applyAlignment="1">
      <alignment horizontal="center" vertical="center"/>
    </xf>
    <xf numFmtId="0" fontId="59" fillId="25" borderId="13" xfId="0" applyFont="1" applyFill="1" applyBorder="1" applyAlignment="1">
      <alignment horizontal="center" vertical="center"/>
    </xf>
    <xf numFmtId="0" fontId="59" fillId="25" borderId="15" xfId="0" applyFont="1" applyFill="1" applyBorder="1" applyAlignment="1">
      <alignment horizontal="center" vertical="center"/>
    </xf>
    <xf numFmtId="14" fontId="48" fillId="25" borderId="13" xfId="0" applyNumberFormat="1" applyFont="1" applyFill="1" applyBorder="1" applyAlignment="1">
      <alignment horizontal="center" vertical="center"/>
    </xf>
    <xf numFmtId="14" fontId="48" fillId="25" borderId="15" xfId="0" applyNumberFormat="1" applyFont="1" applyFill="1" applyBorder="1" applyAlignment="1">
      <alignment horizontal="center" vertical="center"/>
    </xf>
    <xf numFmtId="0" fontId="62" fillId="25" borderId="13" xfId="0" applyFont="1" applyFill="1" applyBorder="1" applyAlignment="1">
      <alignment horizontal="center"/>
    </xf>
    <xf numFmtId="0" fontId="62" fillId="25" borderId="14" xfId="0" applyFont="1" applyFill="1" applyBorder="1" applyAlignment="1">
      <alignment horizontal="center"/>
    </xf>
    <xf numFmtId="0" fontId="62" fillId="25" borderId="15" xfId="0" applyFont="1" applyFill="1" applyBorder="1" applyAlignment="1">
      <alignment horizontal="center"/>
    </xf>
    <xf numFmtId="0" fontId="48" fillId="25" borderId="13" xfId="0" applyFont="1" applyFill="1" applyBorder="1" applyAlignment="1">
      <alignment horizontal="center" vertical="center"/>
    </xf>
    <xf numFmtId="0" fontId="48" fillId="25" borderId="15" xfId="0" applyFont="1" applyFill="1" applyBorder="1" applyAlignment="1">
      <alignment horizontal="center" vertical="center"/>
    </xf>
    <xf numFmtId="0" fontId="55" fillId="25" borderId="0" xfId="0" applyFont="1" applyFill="1" applyBorder="1" applyAlignment="1">
      <alignment horizontal="center"/>
    </xf>
    <xf numFmtId="0" fontId="48" fillId="25" borderId="13" xfId="0" applyFont="1" applyFill="1" applyBorder="1" applyAlignment="1">
      <alignment horizontal="left" vertical="center"/>
    </xf>
    <xf numFmtId="0" fontId="48" fillId="25" borderId="14" xfId="0" applyFont="1" applyFill="1" applyBorder="1" applyAlignment="1">
      <alignment horizontal="left" vertical="center"/>
    </xf>
    <xf numFmtId="0" fontId="48" fillId="25" borderId="15" xfId="0" applyFont="1" applyFill="1" applyBorder="1" applyAlignment="1">
      <alignment horizontal="left" vertical="center"/>
    </xf>
    <xf numFmtId="0" fontId="48" fillId="25" borderId="14" xfId="0" applyFont="1" applyFill="1" applyBorder="1" applyAlignment="1">
      <alignment horizontal="center" vertical="center"/>
    </xf>
    <xf numFmtId="0" fontId="62" fillId="25" borderId="0" xfId="0" applyFont="1" applyFill="1" applyBorder="1" applyAlignment="1">
      <alignment horizontal="left" vertical="top" wrapText="1"/>
    </xf>
    <xf numFmtId="0" fontId="63" fillId="25" borderId="0" xfId="0" applyFont="1" applyFill="1" applyAlignment="1">
      <alignment horizontal="left"/>
    </xf>
    <xf numFmtId="0" fontId="56" fillId="25" borderId="0" xfId="0" applyFont="1" applyFill="1" applyBorder="1" applyAlignment="1">
      <alignment horizontal="center" vertical="top"/>
    </xf>
    <xf numFmtId="0" fontId="48" fillId="25" borderId="14" xfId="0" applyFont="1" applyFill="1" applyBorder="1" applyAlignment="1">
      <alignment horizontal="left" vertical="center" wrapText="1"/>
    </xf>
    <xf numFmtId="0" fontId="48" fillId="25" borderId="15" xfId="0" applyFont="1" applyFill="1" applyBorder="1" applyAlignment="1">
      <alignment horizontal="left" vertical="center" wrapText="1"/>
    </xf>
    <xf numFmtId="0" fontId="48" fillId="25" borderId="1" xfId="0" applyFont="1" applyFill="1" applyBorder="1" applyAlignment="1">
      <alignment horizontal="center" vertical="center"/>
    </xf>
    <xf numFmtId="0" fontId="48" fillId="25" borderId="1" xfId="0" applyFont="1" applyFill="1" applyBorder="1" applyAlignment="1">
      <alignment horizontal="left" vertical="center"/>
    </xf>
    <xf numFmtId="0" fontId="0" fillId="0" borderId="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82" fillId="25" borderId="37" xfId="0" applyFont="1" applyFill="1" applyBorder="1" applyAlignment="1">
      <alignment horizontal="center" textRotation="90"/>
    </xf>
    <xf numFmtId="0" fontId="85" fillId="25" borderId="69" xfId="0" applyFont="1" applyFill="1" applyBorder="1" applyAlignment="1">
      <alignment horizontal="center" vertical="center"/>
    </xf>
    <xf numFmtId="0" fontId="85" fillId="25" borderId="70" xfId="0" applyFont="1" applyFill="1" applyBorder="1" applyAlignment="1">
      <alignment horizontal="center" vertical="center"/>
    </xf>
    <xf numFmtId="0" fontId="85" fillId="25" borderId="71" xfId="0" applyFont="1" applyFill="1" applyBorder="1" applyAlignment="1">
      <alignment horizontal="center" vertical="center"/>
    </xf>
    <xf numFmtId="0" fontId="85" fillId="25" borderId="74" xfId="0" applyFont="1" applyFill="1" applyBorder="1" applyAlignment="1">
      <alignment horizontal="center" vertical="center"/>
    </xf>
    <xf numFmtId="0" fontId="85" fillId="25" borderId="75" xfId="0" applyFont="1" applyFill="1" applyBorder="1" applyAlignment="1">
      <alignment horizontal="center" vertical="center"/>
    </xf>
    <xf numFmtId="0" fontId="85" fillId="25" borderId="76" xfId="0" applyFont="1" applyFill="1" applyBorder="1" applyAlignment="1">
      <alignment horizontal="center" vertical="center"/>
    </xf>
    <xf numFmtId="0" fontId="84" fillId="25" borderId="40" xfId="0" applyFont="1" applyFill="1" applyBorder="1" applyAlignment="1">
      <alignment horizontal="center" wrapText="1"/>
    </xf>
    <xf numFmtId="0" fontId="48" fillId="25" borderId="40" xfId="0" applyFont="1" applyFill="1" applyBorder="1" applyAlignment="1">
      <alignment horizontal="center" wrapText="1"/>
    </xf>
    <xf numFmtId="0" fontId="85" fillId="25" borderId="69" xfId="0" applyFont="1" applyFill="1" applyBorder="1" applyAlignment="1">
      <alignment horizontal="center" vertical="center" wrapText="1"/>
    </xf>
    <xf numFmtId="0" fontId="85" fillId="25" borderId="70" xfId="0" applyFont="1" applyFill="1" applyBorder="1" applyAlignment="1">
      <alignment horizontal="center" vertical="center" wrapText="1"/>
    </xf>
    <xf numFmtId="0" fontId="85" fillId="25" borderId="71" xfId="0" applyFont="1" applyFill="1" applyBorder="1" applyAlignment="1">
      <alignment horizontal="center" vertical="center" wrapText="1"/>
    </xf>
    <xf numFmtId="0" fontId="85" fillId="25" borderId="72" xfId="0" applyFont="1" applyFill="1" applyBorder="1" applyAlignment="1">
      <alignment horizontal="center" vertical="center" wrapText="1"/>
    </xf>
    <xf numFmtId="0" fontId="85" fillId="25" borderId="0" xfId="0" applyFont="1" applyFill="1" applyBorder="1" applyAlignment="1">
      <alignment horizontal="center" vertical="center" wrapText="1"/>
    </xf>
    <xf numFmtId="0" fontId="85" fillId="25" borderId="73" xfId="0" applyFont="1" applyFill="1" applyBorder="1" applyAlignment="1">
      <alignment horizontal="center" vertical="center" wrapText="1"/>
    </xf>
    <xf numFmtId="0" fontId="85" fillId="25" borderId="74" xfId="0" applyFont="1" applyFill="1" applyBorder="1" applyAlignment="1">
      <alignment horizontal="center" vertical="center" wrapText="1"/>
    </xf>
    <xf numFmtId="0" fontId="85" fillId="25" borderId="75" xfId="0" applyFont="1" applyFill="1" applyBorder="1" applyAlignment="1">
      <alignment horizontal="center" vertical="center" wrapText="1"/>
    </xf>
    <xf numFmtId="0" fontId="85" fillId="25" borderId="76" xfId="0" applyFont="1" applyFill="1" applyBorder="1" applyAlignment="1">
      <alignment horizontal="center" vertical="center" wrapText="1"/>
    </xf>
    <xf numFmtId="0" fontId="86" fillId="25" borderId="77" xfId="0" applyFont="1" applyFill="1" applyBorder="1" applyAlignment="1">
      <alignment horizontal="center" wrapText="1"/>
    </xf>
    <xf numFmtId="0" fontId="84" fillId="25" borderId="16" xfId="0" applyFont="1" applyFill="1" applyBorder="1" applyAlignment="1">
      <alignment horizontal="right" vertical="center" textRotation="135"/>
    </xf>
    <xf numFmtId="0" fontId="84" fillId="25" borderId="18" xfId="0" applyFont="1" applyFill="1" applyBorder="1" applyAlignment="1">
      <alignment horizontal="right" vertical="center" textRotation="135"/>
    </xf>
    <xf numFmtId="0" fontId="84" fillId="25" borderId="36" xfId="0" applyFont="1" applyFill="1" applyBorder="1" applyAlignment="1">
      <alignment horizontal="right" vertical="center" textRotation="135"/>
    </xf>
    <xf numFmtId="0" fontId="84" fillId="25" borderId="2" xfId="0" applyFont="1" applyFill="1" applyBorder="1" applyAlignment="1">
      <alignment horizontal="right" vertical="center" textRotation="135"/>
    </xf>
    <xf numFmtId="0" fontId="84" fillId="25" borderId="0" xfId="0" applyFont="1" applyFill="1" applyBorder="1" applyAlignment="1">
      <alignment horizontal="right" vertical="center" textRotation="135"/>
    </xf>
    <xf numFmtId="0" fontId="84" fillId="25" borderId="37" xfId="0" applyFont="1" applyFill="1" applyBorder="1" applyAlignment="1">
      <alignment horizontal="right" vertical="center" textRotation="135"/>
    </xf>
    <xf numFmtId="0" fontId="84" fillId="25" borderId="12" xfId="0" applyFont="1" applyFill="1" applyBorder="1" applyAlignment="1">
      <alignment horizontal="right" vertical="center" textRotation="135"/>
    </xf>
    <xf numFmtId="0" fontId="84" fillId="25" borderId="3" xfId="0" applyFont="1" applyFill="1" applyBorder="1" applyAlignment="1">
      <alignment horizontal="right" vertical="center" textRotation="135"/>
    </xf>
    <xf numFmtId="0" fontId="84" fillId="25" borderId="17" xfId="0" applyFont="1" applyFill="1" applyBorder="1" applyAlignment="1">
      <alignment horizontal="right" vertical="center" textRotation="135"/>
    </xf>
    <xf numFmtId="0" fontId="83" fillId="25" borderId="40" xfId="0" applyFont="1" applyFill="1" applyBorder="1" applyAlignment="1">
      <alignment horizontal="center" wrapText="1"/>
    </xf>
    <xf numFmtId="0" fontId="64" fillId="25" borderId="18" xfId="0" applyFont="1" applyFill="1" applyBorder="1" applyAlignment="1">
      <alignment horizontal="center" vertical="top" wrapText="1"/>
    </xf>
    <xf numFmtId="0" fontId="88" fillId="35" borderId="13" xfId="0" applyFont="1" applyFill="1" applyBorder="1" applyAlignment="1">
      <alignment horizontal="center"/>
    </xf>
    <xf numFmtId="0" fontId="88" fillId="35" borderId="14" xfId="0" applyFont="1" applyFill="1" applyBorder="1" applyAlignment="1">
      <alignment horizontal="center"/>
    </xf>
    <xf numFmtId="0" fontId="88" fillId="35" borderId="15" xfId="0" applyFont="1" applyFill="1" applyBorder="1" applyAlignment="1">
      <alignment horizontal="center"/>
    </xf>
    <xf numFmtId="0" fontId="83" fillId="25" borderId="67" xfId="0" applyFont="1" applyFill="1" applyBorder="1" applyAlignment="1">
      <alignment horizontal="center"/>
    </xf>
    <xf numFmtId="0" fontId="55" fillId="25" borderId="16" xfId="0" applyFont="1" applyFill="1" applyBorder="1" applyAlignment="1">
      <alignment horizontal="center"/>
    </xf>
    <xf numFmtId="0" fontId="55" fillId="25" borderId="18" xfId="0" applyFont="1" applyFill="1" applyBorder="1" applyAlignment="1">
      <alignment horizontal="center"/>
    </xf>
    <xf numFmtId="0" fontId="55" fillId="25" borderId="36" xfId="0" applyFont="1" applyFill="1" applyBorder="1" applyAlignment="1">
      <alignment horizontal="center"/>
    </xf>
    <xf numFmtId="0" fontId="55" fillId="25" borderId="2" xfId="0" applyFont="1" applyFill="1" applyBorder="1" applyAlignment="1">
      <alignment horizontal="center"/>
    </xf>
    <xf numFmtId="0" fontId="55" fillId="25" borderId="37" xfId="0" applyFont="1" applyFill="1" applyBorder="1" applyAlignment="1">
      <alignment horizontal="center"/>
    </xf>
    <xf numFmtId="0" fontId="55" fillId="25" borderId="12" xfId="0" applyFont="1" applyFill="1" applyBorder="1" applyAlignment="1">
      <alignment horizontal="center"/>
    </xf>
    <xf numFmtId="0" fontId="55" fillId="25" borderId="3" xfId="0" applyFont="1" applyFill="1" applyBorder="1" applyAlignment="1">
      <alignment horizontal="center"/>
    </xf>
    <xf numFmtId="0" fontId="55" fillId="25" borderId="17" xfId="0" applyFont="1" applyFill="1" applyBorder="1" applyAlignment="1">
      <alignment horizontal="center"/>
    </xf>
    <xf numFmtId="0" fontId="87" fillId="35" borderId="3" xfId="0" applyFont="1" applyFill="1" applyBorder="1" applyAlignment="1">
      <alignment horizontal="center"/>
    </xf>
    <xf numFmtId="0" fontId="90" fillId="25" borderId="18" xfId="0" applyFont="1" applyFill="1" applyBorder="1" applyAlignment="1">
      <alignment horizontal="right"/>
    </xf>
    <xf numFmtId="0" fontId="90" fillId="25" borderId="36" xfId="0" applyFont="1" applyFill="1" applyBorder="1" applyAlignment="1">
      <alignment horizontal="right"/>
    </xf>
    <xf numFmtId="0" fontId="98" fillId="0" borderId="16" xfId="0" applyFont="1" applyBorder="1" applyAlignment="1">
      <alignment horizontal="center"/>
    </xf>
    <xf numFmtId="0" fontId="98" fillId="0" borderId="18" xfId="0" applyFont="1" applyBorder="1" applyAlignment="1">
      <alignment horizontal="center"/>
    </xf>
    <xf numFmtId="0" fontId="98" fillId="0" borderId="36" xfId="0" applyFont="1" applyBorder="1" applyAlignment="1">
      <alignment horizontal="center"/>
    </xf>
    <xf numFmtId="0" fontId="70" fillId="31" borderId="62" xfId="0" applyFont="1" applyFill="1" applyBorder="1" applyAlignment="1">
      <alignment horizontal="center" vertical="center" textRotation="135"/>
    </xf>
    <xf numFmtId="0" fontId="70" fillId="31" borderId="63" xfId="0" applyFont="1" applyFill="1" applyBorder="1" applyAlignment="1">
      <alignment horizontal="center" vertical="center" textRotation="135"/>
    </xf>
    <xf numFmtId="0" fontId="97" fillId="0" borderId="2" xfId="0" applyFont="1" applyBorder="1" applyAlignment="1">
      <alignment horizontal="center"/>
    </xf>
    <xf numFmtId="0" fontId="97" fillId="0" borderId="0" xfId="0" applyFont="1" applyAlignment="1">
      <alignment horizontal="center"/>
    </xf>
    <xf numFmtId="0" fontId="0" fillId="0" borderId="16" xfId="0" applyFill="1" applyBorder="1" applyAlignment="1">
      <alignment horizontal="center" vertical="center"/>
    </xf>
    <xf numFmtId="0" fontId="0" fillId="0" borderId="18" xfId="0" applyFill="1" applyBorder="1" applyAlignment="1">
      <alignment horizontal="center" vertical="center"/>
    </xf>
    <xf numFmtId="0" fontId="0" fillId="0" borderId="36" xfId="0" applyFill="1" applyBorder="1" applyAlignment="1">
      <alignment horizontal="center" vertical="center"/>
    </xf>
    <xf numFmtId="0" fontId="0" fillId="0" borderId="2" xfId="0" applyFill="1" applyBorder="1" applyAlignment="1">
      <alignment horizontal="center" vertical="center"/>
    </xf>
    <xf numFmtId="0" fontId="0" fillId="0" borderId="0" xfId="0" applyFill="1" applyBorder="1" applyAlignment="1">
      <alignment horizontal="center" vertical="center"/>
    </xf>
    <xf numFmtId="0" fontId="0" fillId="0" borderId="37" xfId="0" applyFill="1" applyBorder="1" applyAlignment="1">
      <alignment horizontal="center" vertical="center"/>
    </xf>
    <xf numFmtId="0" fontId="0" fillId="0" borderId="12" xfId="0" applyFill="1" applyBorder="1" applyAlignment="1">
      <alignment horizontal="center" vertical="center"/>
    </xf>
    <xf numFmtId="0" fontId="0" fillId="0" borderId="3" xfId="0" applyFill="1" applyBorder="1" applyAlignment="1">
      <alignment horizontal="center" vertical="center"/>
    </xf>
    <xf numFmtId="0" fontId="0" fillId="0" borderId="17" xfId="0"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97" fillId="17" borderId="0" xfId="0" applyFont="1" applyFill="1" applyAlignment="1">
      <alignment horizontal="center"/>
    </xf>
    <xf numFmtId="0" fontId="0" fillId="15" borderId="0" xfId="0" applyFill="1" applyAlignment="1">
      <alignment horizontal="center"/>
    </xf>
    <xf numFmtId="0" fontId="0" fillId="37" borderId="0" xfId="0" applyFill="1" applyAlignment="1">
      <alignment horizontal="center"/>
    </xf>
    <xf numFmtId="0" fontId="97" fillId="28" borderId="0" xfId="0" applyFont="1" applyFill="1" applyAlignment="1">
      <alignment horizontal="center"/>
    </xf>
    <xf numFmtId="0" fontId="97" fillId="38" borderId="0" xfId="0" applyFont="1" applyFill="1" applyAlignment="1">
      <alignment horizontal="center"/>
    </xf>
  </cellXfs>
  <cellStyles count="9">
    <cellStyle name="Comma" xfId="7" builtinId="3"/>
    <cellStyle name="Currency" xfId="1" builtinId="4"/>
    <cellStyle name="Hyperlink" xfId="8" builtinId="8"/>
    <cellStyle name="Normal" xfId="0" builtinId="0"/>
    <cellStyle name="Normal 2" xfId="3"/>
    <cellStyle name="Normal 2 2" xfId="6"/>
    <cellStyle name="Normal 2 2 2" xfId="5"/>
    <cellStyle name="Percent" xfId="2" builtinId="5"/>
    <cellStyle name="Percent 2" xfId="4"/>
  </cellStyles>
  <dxfs count="115">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4" tint="0.79998168889431442"/>
      </font>
      <fill>
        <patternFill>
          <bgColor theme="8" tint="0.79998168889431442"/>
        </patternFill>
      </fill>
    </dxf>
    <dxf>
      <font>
        <color theme="8" tint="-0.499984740745262"/>
      </font>
      <fill>
        <patternFill>
          <bgColor rgb="FFFFC000"/>
        </patternFill>
      </fill>
    </dxf>
    <dxf>
      <font>
        <color rgb="FF002060"/>
      </font>
      <fill>
        <patternFill>
          <bgColor rgb="FFFFC000"/>
        </patternFill>
      </fill>
    </dxf>
    <dxf>
      <font>
        <color theme="4" tint="0.79998168889431442"/>
      </font>
      <fill>
        <patternFill>
          <bgColor theme="8" tint="0.79998168889431442"/>
        </patternFill>
      </fill>
    </dxf>
    <dxf>
      <font>
        <color rgb="FF002060"/>
      </font>
      <fill>
        <patternFill>
          <bgColor rgb="FFFFC000"/>
        </patternFill>
      </fill>
    </dxf>
    <dxf>
      <font>
        <color theme="8" tint="-0.499984740745262"/>
      </font>
      <fill>
        <patternFill>
          <bgColor rgb="FFFFC000"/>
        </patternFill>
      </fill>
    </dxf>
    <dxf>
      <font>
        <color theme="8" tint="-0.499984740745262"/>
      </font>
      <fill>
        <patternFill>
          <bgColor rgb="FFFFC000"/>
        </patternFill>
      </fill>
    </dxf>
    <dxf>
      <font>
        <color rgb="FF002060"/>
      </font>
      <fill>
        <patternFill>
          <bgColor rgb="FFFFC000"/>
        </patternFill>
      </fill>
    </dxf>
    <dxf>
      <fill>
        <patternFill patternType="darkGrid"/>
      </fill>
    </dxf>
    <dxf>
      <fill>
        <patternFill patternType="darkGrid"/>
      </fill>
    </dxf>
    <dxf>
      <fill>
        <patternFill patternType="darkGrid"/>
      </fill>
    </dxf>
    <dxf>
      <fill>
        <patternFill patternType="darkGrid"/>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fmlaLink="A33" lockText="1" noThreeD="1"/>
</file>

<file path=xl/ctrlProps/ctrlProp5.xml><?xml version="1.0" encoding="utf-8"?>
<formControlPr xmlns="http://schemas.microsoft.com/office/spreadsheetml/2009/9/main" objectType="CheckBox" fmlaLink="A34" lockText="1" noThreeD="1"/>
</file>

<file path=xl/ctrlProps/ctrlProp6.xml><?xml version="1.0" encoding="utf-8"?>
<formControlPr xmlns="http://schemas.microsoft.com/office/spreadsheetml/2009/9/main" objectType="CheckBox" fmlaLink="A35" lockText="1" noThreeD="1"/>
</file>

<file path=xl/ctrlProps/ctrlProp7.xml><?xml version="1.0" encoding="utf-8"?>
<formControlPr xmlns="http://schemas.microsoft.com/office/spreadsheetml/2009/9/main" objectType="CheckBox" fmlaLink="A36" lockText="1" noThreeD="1"/>
</file>

<file path=xl/ctrlProps/ctrlProp8.xml><?xml version="1.0" encoding="utf-8"?>
<formControlPr xmlns="http://schemas.microsoft.com/office/spreadsheetml/2009/9/main" objectType="CheckBox" fmlaLink="A37" lockText="1" noThreeD="1"/>
</file>

<file path=xl/ctrlProps/ctrlProp9.xml><?xml version="1.0" encoding="utf-8"?>
<formControlPr xmlns="http://schemas.microsoft.com/office/spreadsheetml/2009/9/main" objectType="CheckBox" fmlaLink="A38" lockText="1" noThreeD="1"/>
</file>

<file path=xl/ctrlProps/ctrlProp10.xml><?xml version="1.0" encoding="utf-8"?>
<formControlPr xmlns="http://schemas.microsoft.com/office/spreadsheetml/2009/9/main" objectType="CheckBox" fmlaLink="A40" lockText="1" noThreeD="1"/>
</file>

<file path=xl/ctrlProps/ctrlProp11.xml><?xml version="1.0" encoding="utf-8"?>
<formControlPr xmlns="http://schemas.microsoft.com/office/spreadsheetml/2009/9/main" objectType="CheckBox" fmlaLink="A41" lockText="1" noThreeD="1"/>
</file>

<file path=xl/ctrlProps/ctrlProp12.xml><?xml version="1.0" encoding="utf-8"?>
<formControlPr xmlns="http://schemas.microsoft.com/office/spreadsheetml/2009/9/main" objectType="CheckBox" fmlaLink="A42" lockText="1" noThreeD="1"/>
</file>

<file path=xl/ctrlProps/ctrlProp13.xml><?xml version="1.0" encoding="utf-8"?>
<formControlPr xmlns="http://schemas.microsoft.com/office/spreadsheetml/2009/9/main" objectType="CheckBox" fmlaLink="A43" lockText="1" noThreeD="1"/>
</file>

<file path=xl/ctrlProps/ctrlProp14.xml><?xml version="1.0" encoding="utf-8"?>
<formControlPr xmlns="http://schemas.microsoft.com/office/spreadsheetml/2009/9/main" objectType="CheckBox" fmlaLink="A44" lockText="1" noThreeD="1"/>
</file>

<file path=xl/ctrlProps/ctrlProp15.xml><?xml version="1.0" encoding="utf-8"?>
<formControlPr xmlns="http://schemas.microsoft.com/office/spreadsheetml/2009/9/main" objectType="CheckBox" fmlaLink="A45" lockText="1" noThreeD="1"/>
</file>

<file path=xl/ctrlProps/ctrlProp16.xml><?xml version="1.0" encoding="utf-8"?>
<formControlPr xmlns="http://schemas.microsoft.com/office/spreadsheetml/2009/9/main" objectType="CheckBox" fmlaLink="A46" lockText="1" noThreeD="1"/>
</file>

<file path=xl/ctrlProps/ctrlProp17.xml><?xml version="1.0" encoding="utf-8"?>
<formControlPr xmlns="http://schemas.microsoft.com/office/spreadsheetml/2009/9/main" objectType="CheckBox" fmlaLink="A47"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fmlaLink="A39"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19050</xdr:rowOff>
        </xdr:from>
        <xdr:to>
          <xdr:col>5</xdr:col>
          <xdr:colOff>0</xdr:colOff>
          <xdr:row>1</xdr:row>
          <xdr:rowOff>0</xdr:rowOff>
        </xdr:to>
        <xdr:sp macro="" textlink="">
          <xdr:nvSpPr>
            <xdr:cNvPr id="13320" name="Button 8" hidden="1">
              <a:extLst>
                <a:ext uri="{63B3BB69-23CF-44E3-9099-C40C66FF867C}">
                  <a14:compatExt spid="_x0000_s133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Answers from This 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29</xdr:row>
          <xdr:rowOff>28575</xdr:rowOff>
        </xdr:from>
        <xdr:to>
          <xdr:col>1</xdr:col>
          <xdr:colOff>0</xdr:colOff>
          <xdr:row>30</xdr:row>
          <xdr:rowOff>0</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Cambria"/>
                </a:rPr>
                <a:t>Eliminate Checked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981075</xdr:colOff>
          <xdr:row>32</xdr:row>
          <xdr:rowOff>942975</xdr:rowOff>
        </xdr:to>
        <xdr:sp macro="" textlink="">
          <xdr:nvSpPr>
            <xdr:cNvPr id="2063" name="Check Box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1</xdr:col>
          <xdr:colOff>0</xdr:colOff>
          <xdr:row>33</xdr:row>
          <xdr:rowOff>923925</xdr:rowOff>
        </xdr:to>
        <xdr:sp macro="" textlink="">
          <xdr:nvSpPr>
            <xdr:cNvPr id="2064" name="Check Box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942975</xdr:colOff>
          <xdr:row>34</xdr:row>
          <xdr:rowOff>914400</xdr:rowOff>
        </xdr:to>
        <xdr:sp macro="" textlink="">
          <xdr:nvSpPr>
            <xdr:cNvPr id="2065" name="Check Box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914400</xdr:rowOff>
        </xdr:from>
        <xdr:to>
          <xdr:col>0</xdr:col>
          <xdr:colOff>942975</xdr:colOff>
          <xdr:row>35</xdr:row>
          <xdr:rowOff>695325</xdr:rowOff>
        </xdr:to>
        <xdr:sp macro="" textlink="">
          <xdr:nvSpPr>
            <xdr:cNvPr id="2066" name="Check Box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942975</xdr:colOff>
          <xdr:row>37</xdr:row>
          <xdr:rowOff>0</xdr:rowOff>
        </xdr:to>
        <xdr:sp macro="" textlink="">
          <xdr:nvSpPr>
            <xdr:cNvPr id="2067" name="Check Box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942975</xdr:colOff>
          <xdr:row>38</xdr:row>
          <xdr:rowOff>0</xdr:rowOff>
        </xdr:to>
        <xdr:sp macro="" textlink="">
          <xdr:nvSpPr>
            <xdr:cNvPr id="2068" name="Check Box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942975</xdr:colOff>
          <xdr:row>40</xdr:row>
          <xdr:rowOff>9525</xdr:rowOff>
        </xdr:to>
        <xdr:sp macro="" textlink="">
          <xdr:nvSpPr>
            <xdr:cNvPr id="2070" name="Check Box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942975</xdr:colOff>
          <xdr:row>41</xdr:row>
          <xdr:rowOff>9525</xdr:rowOff>
        </xdr:to>
        <xdr:sp macro="" textlink="">
          <xdr:nvSpPr>
            <xdr:cNvPr id="2071" name="Check Box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942975</xdr:colOff>
          <xdr:row>43</xdr:row>
          <xdr:rowOff>0</xdr:rowOff>
        </xdr:to>
        <xdr:sp macro="" textlink="">
          <xdr:nvSpPr>
            <xdr:cNvPr id="2073" name="Check Box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942975</xdr:colOff>
          <xdr:row>44</xdr:row>
          <xdr:rowOff>9525</xdr:rowOff>
        </xdr:to>
        <xdr:sp macro="" textlink="">
          <xdr:nvSpPr>
            <xdr:cNvPr id="2074" name="Check Box 26" hidden="1">
              <a:extLst>
                <a:ext uri="{63B3BB69-23CF-44E3-9099-C40C66FF867C}">
                  <a14:compatExt spid="_x0000_s20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942975</xdr:colOff>
          <xdr:row>45</xdr:row>
          <xdr:rowOff>9525</xdr:rowOff>
        </xdr:to>
        <xdr:sp macro="" textlink="">
          <xdr:nvSpPr>
            <xdr:cNvPr id="2075" name="Check Box 27" hidden="1">
              <a:extLst>
                <a:ext uri="{63B3BB69-23CF-44E3-9099-C40C66FF867C}">
                  <a14:compatExt spid="_x0000_s20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942975</xdr:colOff>
          <xdr:row>46</xdr:row>
          <xdr:rowOff>9525</xdr:rowOff>
        </xdr:to>
        <xdr:sp macro="" textlink="">
          <xdr:nvSpPr>
            <xdr:cNvPr id="2076" name="Check Box 28" hidden="1">
              <a:extLst>
                <a:ext uri="{63B3BB69-23CF-44E3-9099-C40C66FF867C}">
                  <a14:compatExt spid="_x0000_s20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942975</xdr:colOff>
          <xdr:row>47</xdr:row>
          <xdr:rowOff>9525</xdr:rowOff>
        </xdr:to>
        <xdr:sp macro="" textlink="">
          <xdr:nvSpPr>
            <xdr:cNvPr id="2077" name="Check Box 29" hidden="1">
              <a:extLst>
                <a:ext uri="{63B3BB69-23CF-44E3-9099-C40C66FF867C}">
                  <a14:compatExt spid="_x0000_s20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29</xdr:row>
          <xdr:rowOff>0</xdr:rowOff>
        </xdr:from>
        <xdr:to>
          <xdr:col>5</xdr:col>
          <xdr:colOff>0</xdr:colOff>
          <xdr:row>30</xdr:row>
          <xdr:rowOff>0</xdr:rowOff>
        </xdr:to>
        <xdr:sp macro="" textlink="">
          <xdr:nvSpPr>
            <xdr:cNvPr id="2090" name="Button 42" hidden="1">
              <a:extLst>
                <a:ext uri="{63B3BB69-23CF-44E3-9099-C40C66FF867C}">
                  <a14:compatExt spid="_x0000_s20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Cambria"/>
                </a:rPr>
                <a:t>Submit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942975</xdr:colOff>
          <xdr:row>42</xdr:row>
          <xdr:rowOff>0</xdr:rowOff>
        </xdr:to>
        <xdr:sp macro="" textlink="">
          <xdr:nvSpPr>
            <xdr:cNvPr id="2072" name="Check Box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942975</xdr:colOff>
          <xdr:row>31</xdr:row>
          <xdr:rowOff>1000125</xdr:rowOff>
        </xdr:to>
        <xdr:sp macro="" textlink="">
          <xdr:nvSpPr>
            <xdr:cNvPr id="2062" name="Check Box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2102" name="Button 54" hidden="1">
              <a:extLst>
                <a:ext uri="{63B3BB69-23CF-44E3-9099-C40C66FF867C}">
                  <a14:compatExt spid="_x0000_s210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Cambria"/>
                </a:rPr>
                <a:t>Add a row</a:t>
              </a:r>
            </a:p>
          </xdr:txBody>
        </xdr:sp>
        <xdr:clientData fPrintsWithSheet="0"/>
      </xdr:twoCellAnchor>
    </mc:Choice>
    <mc:Fallback/>
  </mc:AlternateContent>
  <xdr:twoCellAnchor editAs="oneCell">
    <xdr:from>
      <xdr:col>5</xdr:col>
      <xdr:colOff>14847</xdr:colOff>
      <xdr:row>23</xdr:row>
      <xdr:rowOff>138544</xdr:rowOff>
    </xdr:from>
    <xdr:to>
      <xdr:col>13</xdr:col>
      <xdr:colOff>551555</xdr:colOff>
      <xdr:row>28</xdr:row>
      <xdr:rowOff>724749</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50529" y="398317"/>
          <a:ext cx="11984026" cy="1798477"/>
        </a:xfrm>
        <a:prstGeom prst="rect">
          <a:avLst/>
        </a:prstGeom>
        <a:solidFill>
          <a:schemeClr val="accent1"/>
        </a:solidFill>
        <a:ln w="88900" cap="sq" cmpd="thickThin">
          <a:solidFill>
            <a:srgbClr val="000000"/>
          </a:solidFill>
          <a:prstDash val="solid"/>
          <a:miter lim="800000"/>
        </a:ln>
        <a:effectLst>
          <a:innerShdw blurRad="76200">
            <a:srgbClr val="000000"/>
          </a:innerShdw>
        </a:effectLst>
      </xdr:spPr>
    </xdr:pic>
    <xdr:clientData/>
  </xdr:twoCellAnchor>
  <mc:AlternateContent xmlns:mc="http://schemas.openxmlformats.org/markup-compatibility/2006">
    <mc:Choice xmlns:a14="http://schemas.microsoft.com/office/drawing/2010/main" Requires="a14">
      <xdr:twoCellAnchor>
        <xdr:from>
          <xdr:col>0</xdr:col>
          <xdr:colOff>0</xdr:colOff>
          <xdr:row>30</xdr:row>
          <xdr:rowOff>0</xdr:rowOff>
        </xdr:from>
        <xdr:to>
          <xdr:col>1</xdr:col>
          <xdr:colOff>0</xdr:colOff>
          <xdr:row>31</xdr:row>
          <xdr:rowOff>0</xdr:rowOff>
        </xdr:to>
        <xdr:sp macro="" textlink="">
          <xdr:nvSpPr>
            <xdr:cNvPr id="2203" name="Button 155" hidden="1">
              <a:extLst>
                <a:ext uri="{63B3BB69-23CF-44E3-9099-C40C66FF867C}">
                  <a14:compatExt spid="_x0000_s220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ambria"/>
                </a:rPr>
                <a:t>Delete Last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1</xdr:col>
          <xdr:colOff>28575</xdr:colOff>
          <xdr:row>39</xdr:row>
          <xdr:rowOff>0</xdr:rowOff>
        </xdr:to>
        <xdr:sp macro="" textlink="">
          <xdr:nvSpPr>
            <xdr:cNvPr id="2251" name="Check Box 203" hidden="1">
              <a:extLst>
                <a:ext uri="{63B3BB69-23CF-44E3-9099-C40C66FF867C}">
                  <a14:compatExt spid="_x0000_s2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30</xdr:row>
          <xdr:rowOff>19050</xdr:rowOff>
        </xdr:from>
        <xdr:to>
          <xdr:col>5</xdr:col>
          <xdr:colOff>0</xdr:colOff>
          <xdr:row>31</xdr:row>
          <xdr:rowOff>0</xdr:rowOff>
        </xdr:to>
        <xdr:sp macro="" textlink="">
          <xdr:nvSpPr>
            <xdr:cNvPr id="2309" name="Button 261" hidden="1">
              <a:extLst>
                <a:ext uri="{63B3BB69-23CF-44E3-9099-C40C66FF867C}">
                  <a14:compatExt spid="_x0000_s230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0" i="0" u="none" strike="noStrike" baseline="0">
                  <a:solidFill>
                    <a:srgbClr val="000000"/>
                  </a:solidFill>
                  <a:latin typeface="Cambria"/>
                </a:rPr>
                <a:t>Clear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29</xdr:row>
          <xdr:rowOff>9525</xdr:rowOff>
        </xdr:from>
        <xdr:to>
          <xdr:col>4</xdr:col>
          <xdr:colOff>0</xdr:colOff>
          <xdr:row>30</xdr:row>
          <xdr:rowOff>0</xdr:rowOff>
        </xdr:to>
        <xdr:sp macro="" textlink="">
          <xdr:nvSpPr>
            <xdr:cNvPr id="2315" name="Button 267" hidden="1">
              <a:extLst>
                <a:ext uri="{63B3BB69-23CF-44E3-9099-C40C66FF867C}">
                  <a14:compatExt spid="_x0000_s23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Cambria"/>
                </a:rPr>
                <a:t>Validate Compatibility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51955</xdr:colOff>
      <xdr:row>0</xdr:row>
      <xdr:rowOff>230783</xdr:rowOff>
    </xdr:from>
    <xdr:to>
      <xdr:col>6</xdr:col>
      <xdr:colOff>121228</xdr:colOff>
      <xdr:row>5</xdr:row>
      <xdr:rowOff>10178</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8091" y="230783"/>
          <a:ext cx="7221682" cy="12168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0</xdr:row>
      <xdr:rowOff>6350</xdr:rowOff>
    </xdr:from>
    <xdr:to>
      <xdr:col>6</xdr:col>
      <xdr:colOff>577944</xdr:colOff>
      <xdr:row>29</xdr:row>
      <xdr:rowOff>158750</xdr:rowOff>
    </xdr:to>
    <xdr:sp macro="" textlink="">
      <xdr:nvSpPr>
        <xdr:cNvPr id="2" name="TextBox 1"/>
        <xdr:cNvSpPr txBox="1"/>
      </xdr:nvSpPr>
      <xdr:spPr>
        <a:xfrm>
          <a:off x="9525" y="19050"/>
          <a:ext cx="4248150" cy="566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l" rtl="0">
            <a:defRPr sz="1000"/>
          </a:pPr>
          <a:endParaRPr lang="en-US" sz="1100" b="0" i="0" u="none" strike="noStrike" baseline="0">
            <a:solidFill>
              <a:srgbClr val="000000"/>
            </a:solidFill>
            <a:latin typeface="Calibri"/>
            <a:cs typeface="Calibri"/>
          </a:endParaRPr>
        </a:p>
        <a:p>
          <a:pPr algn="l" rtl="0">
            <a:defRPr sz="1000"/>
          </a:pPr>
          <a:endParaRPr lang="en-US" sz="1100" b="0" i="0" u="none" strike="noStrike" baseline="0">
            <a:solidFill>
              <a:srgbClr val="000000"/>
            </a:solidFill>
            <a:latin typeface="Calibri"/>
            <a:cs typeface="Calibri"/>
          </a:endParaRPr>
        </a:p>
        <a:p>
          <a:pPr algn="l" rtl="0">
            <a:defRPr sz="1000"/>
          </a:pPr>
          <a:endParaRPr lang="en-US" sz="1100" b="0" i="0" u="none" strike="noStrike" baseline="0">
            <a:solidFill>
              <a:srgbClr val="000000"/>
            </a:solidFill>
            <a:latin typeface="Calibri"/>
            <a:cs typeface="Calibri"/>
          </a:endParaRPr>
        </a:p>
        <a:p>
          <a:pPr algn="l" rtl="0">
            <a:defRPr sz="1000"/>
          </a:pPr>
          <a:endParaRPr lang="en-US" sz="1100" b="0" i="0" u="none" strike="noStrike" baseline="0">
            <a:solidFill>
              <a:srgbClr val="000000"/>
            </a:solidFill>
            <a:latin typeface="Calibri"/>
            <a:cs typeface="Calibri"/>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119063</xdr:colOff>
      <xdr:row>8</xdr:row>
      <xdr:rowOff>261938</xdr:rowOff>
    </xdr:from>
    <xdr:to>
      <xdr:col>2</xdr:col>
      <xdr:colOff>547688</xdr:colOff>
      <xdr:row>15</xdr:row>
      <xdr:rowOff>166688</xdr:rowOff>
    </xdr:to>
    <xdr:sp macro="" textlink="">
      <xdr:nvSpPr>
        <xdr:cNvPr id="3" name="Rounded Rectangle 2"/>
        <xdr:cNvSpPr/>
      </xdr:nvSpPr>
      <xdr:spPr>
        <a:xfrm>
          <a:off x="881063" y="3786188"/>
          <a:ext cx="428625" cy="3238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a:t>SUPPLIER</a:t>
          </a:r>
        </a:p>
      </xdr:txBody>
    </xdr:sp>
    <xdr:clientData/>
  </xdr:twoCellAnchor>
  <xdr:twoCellAnchor>
    <xdr:from>
      <xdr:col>13</xdr:col>
      <xdr:colOff>285751</xdr:colOff>
      <xdr:row>8</xdr:row>
      <xdr:rowOff>285750</xdr:rowOff>
    </xdr:from>
    <xdr:to>
      <xdr:col>13</xdr:col>
      <xdr:colOff>762001</xdr:colOff>
      <xdr:row>14</xdr:row>
      <xdr:rowOff>452438</xdr:rowOff>
    </xdr:to>
    <xdr:sp macro="" textlink="">
      <xdr:nvSpPr>
        <xdr:cNvPr id="4" name="Rounded Rectangle 3"/>
        <xdr:cNvSpPr/>
      </xdr:nvSpPr>
      <xdr:spPr>
        <a:xfrm>
          <a:off x="11953876" y="3810000"/>
          <a:ext cx="476250" cy="302418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a:t>SHI P       </a:t>
          </a:r>
          <a:br>
            <a:rPr lang="en-US" sz="2400"/>
          </a:br>
          <a:r>
            <a:rPr lang="en-US" sz="2400"/>
            <a:t> </a:t>
          </a:r>
          <a:r>
            <a:rPr lang="en-US" sz="2400" baseline="0"/>
            <a:t> TO</a:t>
          </a:r>
          <a:endParaRPr lang="en-US" sz="2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asmine@henryschein.com"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omments" Target="../comments2.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hyperlink" Target="mailto:L_Brock@msn.com" TargetMode="External"/><Relationship Id="rId13" Type="http://schemas.openxmlformats.org/officeDocument/2006/relationships/hyperlink" Target="mailto:wawatson@charter.net" TargetMode="External"/><Relationship Id="rId3" Type="http://schemas.openxmlformats.org/officeDocument/2006/relationships/hyperlink" Target="mailto:klloyd@takarabelmont.com" TargetMode="External"/><Relationship Id="rId7" Type="http://schemas.openxmlformats.org/officeDocument/2006/relationships/hyperlink" Target="mailto:Tlaundon@takarabelmont.com" TargetMode="External"/><Relationship Id="rId12" Type="http://schemas.openxmlformats.org/officeDocument/2006/relationships/hyperlink" Target="mailto:achan@takarabelmont.com" TargetMode="External"/><Relationship Id="rId2" Type="http://schemas.openxmlformats.org/officeDocument/2006/relationships/hyperlink" Target="mailto:chrisbachus@gmail.com" TargetMode="External"/><Relationship Id="rId16" Type="http://schemas.openxmlformats.org/officeDocument/2006/relationships/hyperlink" Target="mailto:michaelmatuch@yahoo.com" TargetMode="External"/><Relationship Id="rId1" Type="http://schemas.openxmlformats.org/officeDocument/2006/relationships/hyperlink" Target="mailto:vrjrliny@optonline.com" TargetMode="External"/><Relationship Id="rId6" Type="http://schemas.openxmlformats.org/officeDocument/2006/relationships/hyperlink" Target="mailto:Lchoyer@comcast.net" TargetMode="External"/><Relationship Id="rId11" Type="http://schemas.openxmlformats.org/officeDocument/2006/relationships/hyperlink" Target="mailto:fldentaldude@gmail.com" TargetMode="External"/><Relationship Id="rId5" Type="http://schemas.openxmlformats.org/officeDocument/2006/relationships/hyperlink" Target="mailto:jamesjmolloy@gmail.com" TargetMode="External"/><Relationship Id="rId15" Type="http://schemas.openxmlformats.org/officeDocument/2006/relationships/hyperlink" Target="mailto:chad.leaver@gmail.com" TargetMode="External"/><Relationship Id="rId10" Type="http://schemas.openxmlformats.org/officeDocument/2006/relationships/hyperlink" Target="mailto:mikehardwood58@icloud.com" TargetMode="External"/><Relationship Id="rId4" Type="http://schemas.openxmlformats.org/officeDocument/2006/relationships/hyperlink" Target="mailto:wgpbecker@msn.com" TargetMode="External"/><Relationship Id="rId9" Type="http://schemas.openxmlformats.org/officeDocument/2006/relationships/hyperlink" Target="mailto:art5691@sbcglobal.com" TargetMode="External"/><Relationship Id="rId14" Type="http://schemas.openxmlformats.org/officeDocument/2006/relationships/hyperlink" Target="mailto:vanwychen@hotmail.com"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H61"/>
  <sheetViews>
    <sheetView tabSelected="1" view="pageBreakPreview" topLeftCell="A37" zoomScale="85" zoomScaleNormal="100" zoomScaleSheetLayoutView="85" workbookViewId="0">
      <selection activeCell="C69" sqref="C69"/>
    </sheetView>
  </sheetViews>
  <sheetFormatPr defaultRowHeight="15"/>
  <cols>
    <col min="1" max="1" width="1.85546875" style="360" customWidth="1"/>
    <col min="2" max="2" width="12.42578125" style="360" customWidth="1"/>
    <col min="3" max="3" width="10.85546875" style="360" bestFit="1" customWidth="1"/>
    <col min="4" max="4" width="57.140625" style="360" bestFit="1" customWidth="1"/>
    <col min="5" max="5" width="60.140625" style="360" bestFit="1" customWidth="1"/>
    <col min="6" max="6" width="7.140625" style="360" customWidth="1"/>
    <col min="7" max="7" width="24.140625" style="360" customWidth="1"/>
    <col min="8" max="8" width="56.5703125" style="360" customWidth="1"/>
    <col min="9" max="16384" width="9.140625" style="360"/>
  </cols>
  <sheetData>
    <row r="1" spans="2:6" s="359" customFormat="1" ht="18.75">
      <c r="B1" s="431" t="s">
        <v>1483</v>
      </c>
    </row>
    <row r="2" spans="2:6" ht="18.75">
      <c r="B2" s="432" t="s">
        <v>2182</v>
      </c>
    </row>
    <row r="4" spans="2:6" ht="19.5" thickBot="1">
      <c r="B4" s="539" t="s">
        <v>2239</v>
      </c>
      <c r="C4" s="541"/>
      <c r="D4" s="541"/>
      <c r="E4" s="540"/>
    </row>
    <row r="5" spans="2:6" s="362" customFormat="1" ht="15.75" thickBot="1">
      <c r="B5" s="310" t="s">
        <v>2181</v>
      </c>
      <c r="C5" s="310" t="s">
        <v>1649</v>
      </c>
      <c r="D5" s="310" t="s">
        <v>2179</v>
      </c>
      <c r="E5" s="310" t="s">
        <v>2180</v>
      </c>
      <c r="F5" s="361"/>
    </row>
    <row r="6" spans="2:6" s="362" customFormat="1" ht="14.25">
      <c r="B6" s="547" t="s">
        <v>2176</v>
      </c>
      <c r="C6" s="311">
        <v>1</v>
      </c>
      <c r="D6" s="312" t="s">
        <v>1484</v>
      </c>
      <c r="E6" s="324" t="s">
        <v>2131</v>
      </c>
      <c r="F6" s="361"/>
    </row>
    <row r="7" spans="2:6" s="362" customFormat="1" ht="17.25" customHeight="1">
      <c r="B7" s="548"/>
      <c r="C7" s="311">
        <v>2</v>
      </c>
      <c r="D7" s="312" t="s">
        <v>1485</v>
      </c>
      <c r="E7" s="313" t="s">
        <v>2361</v>
      </c>
      <c r="F7" s="363"/>
    </row>
    <row r="8" spans="2:6" s="362" customFormat="1" ht="17.25" customHeight="1">
      <c r="B8" s="548"/>
      <c r="C8" s="311">
        <v>3</v>
      </c>
      <c r="D8" s="312" t="s">
        <v>2130</v>
      </c>
      <c r="E8" s="314">
        <v>100812</v>
      </c>
      <c r="F8" s="364"/>
    </row>
    <row r="9" spans="2:6" s="362" customFormat="1" ht="14.25">
      <c r="B9" s="548"/>
      <c r="C9" s="311">
        <v>4</v>
      </c>
      <c r="D9" s="312" t="s">
        <v>1486</v>
      </c>
      <c r="E9" s="313" t="s">
        <v>2488</v>
      </c>
      <c r="F9" s="363"/>
    </row>
    <row r="10" spans="2:6" s="362" customFormat="1" ht="14.25">
      <c r="B10" s="548"/>
      <c r="C10" s="311">
        <v>5</v>
      </c>
      <c r="D10" s="312" t="s">
        <v>1487</v>
      </c>
      <c r="E10" s="313" t="s">
        <v>2487</v>
      </c>
      <c r="F10" s="363"/>
    </row>
    <row r="11" spans="2:6" s="362" customFormat="1" ht="14.25">
      <c r="B11" s="549"/>
      <c r="C11" s="311">
        <v>6</v>
      </c>
      <c r="D11" s="312" t="s">
        <v>1489</v>
      </c>
      <c r="E11" s="313" t="s">
        <v>1490</v>
      </c>
      <c r="F11" s="363"/>
    </row>
    <row r="12" spans="2:6" s="362" customFormat="1" ht="14.25">
      <c r="B12" s="545" t="s">
        <v>2148</v>
      </c>
      <c r="C12" s="315">
        <v>7</v>
      </c>
      <c r="D12" s="315" t="s">
        <v>2097</v>
      </c>
      <c r="E12" s="316" t="s">
        <v>2102</v>
      </c>
    </row>
    <row r="13" spans="2:6" s="362" customFormat="1" ht="14.25">
      <c r="B13" s="546"/>
      <c r="C13" s="317">
        <v>8</v>
      </c>
      <c r="D13" s="317" t="s">
        <v>2098</v>
      </c>
      <c r="E13" s="318" t="s">
        <v>2103</v>
      </c>
    </row>
    <row r="14" spans="2:6" s="362" customFormat="1" ht="14.25">
      <c r="B14" s="546"/>
      <c r="C14" s="317">
        <v>9</v>
      </c>
      <c r="D14" s="317" t="s">
        <v>2099</v>
      </c>
      <c r="E14" s="318" t="s">
        <v>2104</v>
      </c>
    </row>
    <row r="15" spans="2:6" s="362" customFormat="1" ht="14.25">
      <c r="B15" s="546"/>
      <c r="C15" s="317">
        <v>10</v>
      </c>
      <c r="D15" s="317" t="s">
        <v>2100</v>
      </c>
      <c r="E15" s="318" t="s">
        <v>2105</v>
      </c>
    </row>
    <row r="16" spans="2:6" s="362" customFormat="1" ht="14.25">
      <c r="B16" s="546"/>
      <c r="C16" s="317">
        <v>11</v>
      </c>
      <c r="D16" s="317" t="s">
        <v>2101</v>
      </c>
      <c r="E16" s="319">
        <v>11747</v>
      </c>
    </row>
    <row r="17" spans="2:5" s="362" customFormat="1" ht="14.25">
      <c r="B17" s="546"/>
      <c r="C17" s="317">
        <v>12</v>
      </c>
      <c r="D17" s="317" t="s">
        <v>2106</v>
      </c>
      <c r="E17" s="318" t="s">
        <v>2217</v>
      </c>
    </row>
    <row r="18" spans="2:5" s="362" customFormat="1">
      <c r="B18" s="320" t="s">
        <v>2177</v>
      </c>
      <c r="C18" s="321">
        <v>13</v>
      </c>
      <c r="D18" s="321" t="s">
        <v>2107</v>
      </c>
      <c r="E18" s="382" t="s">
        <v>2108</v>
      </c>
    </row>
    <row r="19" spans="2:5" s="362" customFormat="1" ht="14.25">
      <c r="B19" s="550" t="s">
        <v>2149</v>
      </c>
      <c r="C19" s="317">
        <v>14</v>
      </c>
      <c r="D19" s="317" t="s">
        <v>2160</v>
      </c>
      <c r="E19" s="318" t="s">
        <v>2220</v>
      </c>
    </row>
    <row r="20" spans="2:5" s="362" customFormat="1" ht="15" customHeight="1">
      <c r="B20" s="551"/>
      <c r="C20" s="317">
        <v>15</v>
      </c>
      <c r="D20" s="317" t="s">
        <v>2097</v>
      </c>
      <c r="E20" s="318" t="s">
        <v>2218</v>
      </c>
    </row>
    <row r="21" spans="2:5" s="362" customFormat="1" ht="14.25">
      <c r="B21" s="551"/>
      <c r="C21" s="317">
        <v>16</v>
      </c>
      <c r="D21" s="317" t="s">
        <v>2147</v>
      </c>
      <c r="E21" s="318" t="s">
        <v>2221</v>
      </c>
    </row>
    <row r="22" spans="2:5" s="362" customFormat="1" ht="14.25">
      <c r="B22" s="551"/>
      <c r="C22" s="317">
        <v>17</v>
      </c>
      <c r="D22" s="317" t="s">
        <v>2151</v>
      </c>
      <c r="E22" s="318" t="s">
        <v>2222</v>
      </c>
    </row>
    <row r="23" spans="2:5" s="362" customFormat="1" ht="14.25">
      <c r="B23" s="551"/>
      <c r="C23" s="317">
        <v>18</v>
      </c>
      <c r="D23" s="317" t="s">
        <v>2152</v>
      </c>
      <c r="E23" s="318" t="s">
        <v>2223</v>
      </c>
    </row>
    <row r="24" spans="2:5" s="362" customFormat="1" ht="14.25">
      <c r="B24" s="551"/>
      <c r="C24" s="317">
        <v>19</v>
      </c>
      <c r="D24" s="317" t="s">
        <v>2153</v>
      </c>
      <c r="E24" s="319" t="s">
        <v>2224</v>
      </c>
    </row>
    <row r="25" spans="2:5" s="362" customFormat="1" ht="14.25">
      <c r="B25" s="551"/>
      <c r="C25" s="317">
        <v>20</v>
      </c>
      <c r="D25" s="317" t="s">
        <v>2154</v>
      </c>
      <c r="E25" s="318" t="s">
        <v>2251</v>
      </c>
    </row>
    <row r="26" spans="2:5" s="362" customFormat="1" ht="14.25">
      <c r="B26" s="358"/>
      <c r="C26" s="322">
        <v>21</v>
      </c>
      <c r="D26" s="322" t="s">
        <v>2165</v>
      </c>
      <c r="E26" s="323" t="s">
        <v>2219</v>
      </c>
    </row>
    <row r="27" spans="2:5" s="362" customFormat="1" ht="14.25">
      <c r="B27" s="537" t="s">
        <v>2178</v>
      </c>
      <c r="C27" s="312">
        <v>22</v>
      </c>
      <c r="D27" s="312" t="s">
        <v>1493</v>
      </c>
      <c r="E27" s="328">
        <v>0.5</v>
      </c>
    </row>
    <row r="28" spans="2:5" s="362" customFormat="1" ht="14.25">
      <c r="B28" s="537"/>
      <c r="C28" s="312">
        <v>23</v>
      </c>
      <c r="D28" s="312" t="s">
        <v>2174</v>
      </c>
      <c r="E28" s="383" t="s">
        <v>2076</v>
      </c>
    </row>
    <row r="29" spans="2:5" s="362" customFormat="1" ht="14.25">
      <c r="B29" s="537"/>
      <c r="C29" s="312">
        <v>24</v>
      </c>
      <c r="D29" s="312" t="s">
        <v>2186</v>
      </c>
      <c r="E29" s="383" t="s">
        <v>2188</v>
      </c>
    </row>
    <row r="30" spans="2:5" s="362" customFormat="1" ht="14.25">
      <c r="B30" s="537"/>
      <c r="C30" s="312">
        <v>25</v>
      </c>
      <c r="D30" s="312" t="s">
        <v>2125</v>
      </c>
      <c r="E30" s="324" t="s">
        <v>2163</v>
      </c>
    </row>
    <row r="31" spans="2:5" s="362" customFormat="1" ht="14.25">
      <c r="B31" s="537"/>
      <c r="C31" s="312">
        <v>26</v>
      </c>
      <c r="D31" s="312" t="s">
        <v>2162</v>
      </c>
      <c r="E31" s="325">
        <v>41654</v>
      </c>
    </row>
    <row r="32" spans="2:5" s="362" customFormat="1" ht="14.25">
      <c r="B32" s="537"/>
      <c r="C32" s="312">
        <v>27</v>
      </c>
      <c r="D32" s="312" t="s">
        <v>2164</v>
      </c>
      <c r="E32" s="325"/>
    </row>
    <row r="33" spans="1:8" s="362" customFormat="1" ht="14.25">
      <c r="B33" s="537"/>
      <c r="C33" s="312">
        <v>29</v>
      </c>
      <c r="D33" s="312" t="s">
        <v>2166</v>
      </c>
      <c r="E33" s="324">
        <v>10544351</v>
      </c>
    </row>
    <row r="34" spans="1:8" s="362" customFormat="1" ht="14.25">
      <c r="B34" s="537"/>
      <c r="C34" s="312">
        <v>30</v>
      </c>
      <c r="D34" s="312" t="s">
        <v>2111</v>
      </c>
      <c r="E34" s="324" t="s">
        <v>2311</v>
      </c>
    </row>
    <row r="35" spans="1:8" s="362" customFormat="1" ht="14.25">
      <c r="B35" s="537"/>
      <c r="C35" s="312">
        <v>31</v>
      </c>
      <c r="D35" s="312" t="s">
        <v>2474</v>
      </c>
      <c r="E35" s="383" t="s">
        <v>2207</v>
      </c>
    </row>
    <row r="36" spans="1:8" s="362" customFormat="1" ht="14.25">
      <c r="B36" s="538"/>
      <c r="C36" s="326">
        <v>32</v>
      </c>
      <c r="D36" s="326" t="s">
        <v>2172</v>
      </c>
      <c r="E36" s="327" t="s">
        <v>2173</v>
      </c>
    </row>
    <row r="37" spans="1:8">
      <c r="G37" s="362"/>
      <c r="H37" s="362"/>
    </row>
    <row r="38" spans="1:8">
      <c r="B38" s="365" t="s">
        <v>2175</v>
      </c>
    </row>
    <row r="41" spans="1:8" ht="19.5" thickBot="1">
      <c r="D41" s="539" t="s">
        <v>2212</v>
      </c>
      <c r="E41" s="540"/>
    </row>
    <row r="42" spans="1:8">
      <c r="D42" s="410" t="s">
        <v>2179</v>
      </c>
      <c r="E42" s="410" t="s">
        <v>2180</v>
      </c>
    </row>
    <row r="43" spans="1:8">
      <c r="A43" s="409"/>
      <c r="B43" s="542" t="s">
        <v>2249</v>
      </c>
      <c r="C43" s="315">
        <v>33</v>
      </c>
      <c r="D43" s="315" t="s">
        <v>2243</v>
      </c>
      <c r="E43" s="316" t="s">
        <v>2198</v>
      </c>
    </row>
    <row r="44" spans="1:8">
      <c r="A44" s="409"/>
      <c r="B44" s="543"/>
      <c r="C44" s="317">
        <v>34</v>
      </c>
      <c r="D44" s="317" t="s">
        <v>2216</v>
      </c>
      <c r="E44" s="318">
        <v>518800</v>
      </c>
    </row>
    <row r="45" spans="1:8">
      <c r="A45" s="409"/>
      <c r="B45" s="543"/>
      <c r="C45" s="317">
        <v>35</v>
      </c>
      <c r="D45" s="317" t="s">
        <v>2244</v>
      </c>
      <c r="E45" s="318" t="s">
        <v>2168</v>
      </c>
    </row>
    <row r="46" spans="1:8">
      <c r="A46" s="409"/>
      <c r="B46" s="543"/>
      <c r="C46" s="317">
        <v>36</v>
      </c>
      <c r="D46" s="317" t="s">
        <v>2245</v>
      </c>
      <c r="E46" s="318" t="s">
        <v>2199</v>
      </c>
    </row>
    <row r="47" spans="1:8">
      <c r="A47" s="409"/>
      <c r="B47" s="543"/>
      <c r="C47" s="317">
        <v>37</v>
      </c>
      <c r="D47" s="317" t="s">
        <v>2246</v>
      </c>
      <c r="E47" s="319" t="s">
        <v>2150</v>
      </c>
    </row>
    <row r="48" spans="1:8">
      <c r="A48" s="359"/>
      <c r="B48" s="543"/>
      <c r="C48" s="317">
        <v>38</v>
      </c>
      <c r="D48" s="317" t="s">
        <v>2247</v>
      </c>
      <c r="E48" s="318" t="s">
        <v>2200</v>
      </c>
    </row>
    <row r="49" spans="2:5">
      <c r="B49" s="543"/>
      <c r="C49" s="414">
        <v>39</v>
      </c>
      <c r="D49" s="411" t="s">
        <v>2242</v>
      </c>
      <c r="E49" s="419" t="s">
        <v>2201</v>
      </c>
    </row>
    <row r="50" spans="2:5">
      <c r="B50" s="543"/>
      <c r="C50" s="414">
        <v>40</v>
      </c>
      <c r="D50" s="412" t="s">
        <v>2241</v>
      </c>
      <c r="E50" s="419" t="s">
        <v>2202</v>
      </c>
    </row>
    <row r="51" spans="2:5">
      <c r="B51" s="544"/>
      <c r="C51" s="415">
        <v>41</v>
      </c>
      <c r="D51" s="413" t="s">
        <v>2240</v>
      </c>
      <c r="E51" s="420" t="s">
        <v>2203</v>
      </c>
    </row>
    <row r="52" spans="2:5" ht="15" customHeight="1">
      <c r="B52" s="536" t="s">
        <v>2250</v>
      </c>
      <c r="C52" s="416">
        <v>42</v>
      </c>
      <c r="D52" s="417" t="s">
        <v>2209</v>
      </c>
      <c r="E52" s="421"/>
    </row>
    <row r="53" spans="2:5">
      <c r="B53" s="537"/>
      <c r="C53" s="416">
        <v>43</v>
      </c>
      <c r="D53" s="417" t="s">
        <v>2210</v>
      </c>
      <c r="E53" s="422">
        <f ca="1">TODAY()</f>
        <v>41703</v>
      </c>
    </row>
    <row r="54" spans="2:5">
      <c r="B54" s="537"/>
      <c r="C54" s="416">
        <v>44</v>
      </c>
      <c r="D54" s="417" t="s">
        <v>2211</v>
      </c>
      <c r="E54" s="422">
        <v>41516</v>
      </c>
    </row>
    <row r="55" spans="2:5">
      <c r="B55" s="537"/>
      <c r="C55" s="416">
        <v>45</v>
      </c>
      <c r="D55" s="417" t="s">
        <v>2214</v>
      </c>
      <c r="E55" s="421" t="s">
        <v>2215</v>
      </c>
    </row>
    <row r="56" spans="2:5">
      <c r="B56" s="537"/>
      <c r="C56" s="416">
        <v>46</v>
      </c>
      <c r="D56" s="417" t="s">
        <v>2235</v>
      </c>
      <c r="E56" s="421" t="s">
        <v>2233</v>
      </c>
    </row>
    <row r="57" spans="2:5">
      <c r="B57" s="537"/>
      <c r="C57" s="416">
        <v>47</v>
      </c>
      <c r="D57" s="417" t="s">
        <v>2236</v>
      </c>
      <c r="E57" s="421" t="s">
        <v>2234</v>
      </c>
    </row>
    <row r="58" spans="2:5">
      <c r="B58" s="537"/>
      <c r="C58" s="416">
        <v>48</v>
      </c>
      <c r="D58" s="417" t="s">
        <v>2237</v>
      </c>
      <c r="E58" s="421" t="s">
        <v>2238</v>
      </c>
    </row>
    <row r="59" spans="2:5">
      <c r="B59" s="537"/>
      <c r="C59" s="416">
        <v>49</v>
      </c>
      <c r="D59" s="417" t="s">
        <v>2248</v>
      </c>
      <c r="E59" s="511" t="s">
        <v>2426</v>
      </c>
    </row>
    <row r="60" spans="2:5">
      <c r="B60" s="538"/>
      <c r="C60" s="512">
        <v>50</v>
      </c>
      <c r="D60" s="418" t="s">
        <v>2420</v>
      </c>
      <c r="E60" s="513" t="s">
        <v>2421</v>
      </c>
    </row>
    <row r="61" spans="2:5">
      <c r="E61" s="511" t="str">
        <f>VLOOKUP(E6,Vinyl!V:X,3,FALSE)</f>
        <v>vrjrliny@optonline.com</v>
      </c>
    </row>
  </sheetData>
  <mergeCells count="8">
    <mergeCell ref="B52:B60"/>
    <mergeCell ref="D41:E41"/>
    <mergeCell ref="B4:E4"/>
    <mergeCell ref="B43:B51"/>
    <mergeCell ref="B12:B17"/>
    <mergeCell ref="B6:B11"/>
    <mergeCell ref="B27:B36"/>
    <mergeCell ref="B19:B25"/>
  </mergeCells>
  <conditionalFormatting sqref="B19:B26 D19:E25">
    <cfRule type="expression" dxfId="114" priority="4">
      <formula>$E$18="yes"</formula>
    </cfRule>
  </conditionalFormatting>
  <conditionalFormatting sqref="C19:C25">
    <cfRule type="expression" dxfId="113" priority="3">
      <formula>$E$18="yes"</formula>
    </cfRule>
  </conditionalFormatting>
  <conditionalFormatting sqref="D26:E26">
    <cfRule type="expression" dxfId="112" priority="2">
      <formula>$E$18="yes"</formula>
    </cfRule>
  </conditionalFormatting>
  <conditionalFormatting sqref="C26">
    <cfRule type="expression" dxfId="111" priority="1">
      <formula>$E$18="yes"</formula>
    </cfRule>
  </conditionalFormatting>
  <dataValidations count="8">
    <dataValidation type="list" allowBlank="1" showInputMessage="1" showErrorMessage="1" sqref="E28">
      <formula1>INDIRECT("lightheight")</formula1>
    </dataValidation>
    <dataValidation type="list" allowBlank="1" showInputMessage="1" showErrorMessage="1" sqref="E6">
      <formula1>INDIRECT("salesperson")</formula1>
    </dataValidation>
    <dataValidation type="date" operator="greaterThan" allowBlank="1" showInputMessage="1" showErrorMessage="1" errorTitle="Please Enter a Future Date" error="You Entered a Date in the Past Please correct your entry." sqref="E31">
      <formula1>TODAY()-1</formula1>
    </dataValidation>
    <dataValidation type="date" operator="greaterThan" allowBlank="1" showInputMessage="1" showErrorMessage="1" error="Please Choose a Future Date for Requesting Receipt of Goods" sqref="E32">
      <formula1>TODAY()-1</formula1>
    </dataValidation>
    <dataValidation type="date" operator="greaterThan" allowBlank="1" showInputMessage="1" showErrorMessage="1" sqref="E54">
      <formula1>TODAY()-1</formula1>
    </dataValidation>
    <dataValidation type="decimal" allowBlank="1" showInputMessage="1" showErrorMessage="1" errorTitle="Alert- Please Revise" error="Please choose a valid % dealer discount level" sqref="E27">
      <formula1>0.4</formula1>
      <formula2>0.6</formula2>
    </dataValidation>
    <dataValidation type="textLength" errorStyle="warning" allowBlank="1" showInputMessage="1" showErrorMessage="1" errorTitle="Phone Number" error="Your phone number doesn't seem right, please check that this is a valid phone number" sqref="E60">
      <formula1>4</formula1>
      <formula2>18</formula2>
    </dataValidation>
    <dataValidation type="textLength" allowBlank="1" showInputMessage="1" showErrorMessage="1" sqref="E50:E51">
      <formula1>4</formula1>
      <formula2>18</formula2>
    </dataValidation>
  </dataValidations>
  <hyperlinks>
    <hyperlink ref="E59" r:id="rId1"/>
  </hyperlinks>
  <pageMargins left="0.25" right="0.25" top="0.75" bottom="0.75" header="0.3" footer="0.3"/>
  <pageSetup scale="7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20" r:id="rId5" name="Button 8">
              <controlPr defaultSize="0" print="0" autoFill="0" autoPict="0" macro="[0]!clearinputs">
                <anchor moveWithCells="1" sizeWithCells="1">
                  <from>
                    <xdr:col>4</xdr:col>
                    <xdr:colOff>76200</xdr:colOff>
                    <xdr:row>0</xdr:row>
                    <xdr:rowOff>19050</xdr:rowOff>
                  </from>
                  <to>
                    <xdr:col>5</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Vinyl!$S$1:$S$2</xm:f>
          </x14:formula1>
          <xm:sqref>E18</xm:sqref>
        </x14:dataValidation>
        <x14:dataValidation type="list" allowBlank="1" showInputMessage="1" showErrorMessage="1">
          <x14:formula1>
            <xm:f>Vinyl!$AD$1:$AD$2</xm:f>
          </x14:formula1>
          <xm:sqref>E29</xm:sqref>
        </x14:dataValidation>
        <x14:dataValidation type="list" allowBlank="1" showInputMessage="1" showErrorMessage="1">
          <x14:formula1>
            <xm:f>Vinyl!$AH$1:$AH$5</xm:f>
          </x14:formula1>
          <xm:sqref>E35</xm:sqref>
        </x14:dataValidation>
        <x14:dataValidation type="list" allowBlank="1" showInputMessage="1" showErrorMessage="1">
          <x14:formula1>
            <xm:f>LoCS!$AD$1:$AD$50</xm:f>
          </x14:formula1>
          <xm:sqref>E47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U104"/>
  <sheetViews>
    <sheetView topLeftCell="A2" zoomScale="75" zoomScaleNormal="75" zoomScaleSheetLayoutView="55" workbookViewId="0">
      <pane xSplit="5" ySplit="31" topLeftCell="F33" activePane="bottomRight" state="frozen"/>
      <selection activeCell="H16" sqref="H16"/>
      <selection pane="topRight" activeCell="H16" sqref="H16"/>
      <selection pane="bottomLeft" activeCell="H16" sqref="H16"/>
      <selection pane="bottomRight" activeCell="D29" sqref="D29"/>
    </sheetView>
  </sheetViews>
  <sheetFormatPr defaultColWidth="8.85546875" defaultRowHeight="20.25"/>
  <cols>
    <col min="1" max="1" width="19" style="214" customWidth="1"/>
    <col min="2" max="2" width="6.7109375" style="214" customWidth="1"/>
    <col min="3" max="3" width="14.7109375" style="214" customWidth="1"/>
    <col min="4" max="4" width="18.140625" style="214" customWidth="1"/>
    <col min="5" max="5" width="15.85546875" style="214" customWidth="1"/>
    <col min="6" max="6" width="17.140625" style="214" customWidth="1"/>
    <col min="7" max="7" width="19.140625" style="214" customWidth="1"/>
    <col min="8" max="8" width="29" style="214" customWidth="1"/>
    <col min="9" max="9" width="22" style="214" customWidth="1"/>
    <col min="10" max="10" width="19.85546875" style="214" customWidth="1"/>
    <col min="11" max="11" width="22.42578125" style="214" customWidth="1"/>
    <col min="12" max="13" width="21.140625" style="214" customWidth="1"/>
    <col min="14" max="14" width="16.140625" style="245" customWidth="1"/>
    <col min="15" max="15" width="37.28515625" style="269" customWidth="1"/>
    <col min="16" max="16" width="13.140625" style="269" customWidth="1"/>
    <col min="17" max="17" width="22" style="269" customWidth="1"/>
    <col min="18" max="18" width="16" style="269" customWidth="1"/>
    <col min="19" max="19" width="36.7109375" style="214" customWidth="1"/>
    <col min="20" max="20" width="22.28515625" style="250" customWidth="1"/>
    <col min="21" max="21" width="20" style="250" customWidth="1"/>
    <col min="22" max="22" width="18.42578125" style="250" hidden="1" customWidth="1"/>
    <col min="23" max="23" width="18.85546875" style="214" bestFit="1" customWidth="1"/>
    <col min="24" max="24" width="14.7109375" style="250" hidden="1" customWidth="1"/>
    <col min="25" max="25" width="14.7109375" style="214" hidden="1" customWidth="1"/>
    <col min="26" max="26" width="14.7109375" style="251" hidden="1" customWidth="1"/>
    <col min="27" max="27" width="28.42578125" style="214" customWidth="1"/>
    <col min="28" max="28" width="21.28515625" style="214" customWidth="1"/>
    <col min="29" max="31" width="8.85546875" style="214"/>
    <col min="32" max="33" width="10.28515625" style="214" bestFit="1" customWidth="1"/>
    <col min="34" max="47" width="8.85546875" style="214"/>
    <col min="48" max="16384" width="8.85546875" style="487"/>
  </cols>
  <sheetData>
    <row r="1" spans="1:47" ht="21" thickBot="1">
      <c r="A1" s="344" t="s">
        <v>2072</v>
      </c>
      <c r="B1" s="224" t="s">
        <v>2072</v>
      </c>
      <c r="C1" s="224" t="s">
        <v>2072</v>
      </c>
      <c r="D1" s="224" t="s">
        <v>2072</v>
      </c>
      <c r="E1" s="223" t="s">
        <v>2072</v>
      </c>
      <c r="F1" s="209"/>
      <c r="G1" s="209"/>
      <c r="H1" s="209"/>
      <c r="I1" s="209"/>
      <c r="J1" s="209"/>
      <c r="K1" s="209"/>
      <c r="L1" s="209"/>
      <c r="M1" s="209"/>
      <c r="N1" s="210"/>
      <c r="O1" s="281"/>
      <c r="P1" s="281"/>
      <c r="Q1" s="281"/>
      <c r="R1" s="281"/>
      <c r="S1" s="209"/>
      <c r="T1" s="211"/>
      <c r="U1" s="211"/>
      <c r="V1" s="211"/>
      <c r="W1" s="209"/>
      <c r="X1" s="211"/>
      <c r="Y1" s="209"/>
      <c r="Z1" s="212"/>
      <c r="AA1" s="225"/>
      <c r="AB1" s="225"/>
      <c r="AC1" s="225"/>
      <c r="AD1" s="225"/>
      <c r="AE1" s="225"/>
      <c r="AF1" s="225"/>
      <c r="AG1" s="225"/>
      <c r="AH1" s="225"/>
      <c r="AI1" s="225"/>
      <c r="AJ1" s="225"/>
      <c r="AK1" s="225"/>
      <c r="AL1" s="225"/>
      <c r="AM1" s="209"/>
      <c r="AN1" s="209"/>
      <c r="AO1" s="209"/>
      <c r="AP1" s="209"/>
      <c r="AQ1" s="209"/>
      <c r="AR1" s="209"/>
      <c r="AS1" s="209"/>
      <c r="AT1" s="209"/>
      <c r="AU1" s="209"/>
    </row>
    <row r="2" spans="1:47" ht="21" hidden="1" thickBot="1">
      <c r="A2" s="345" t="s">
        <v>2072</v>
      </c>
      <c r="B2" s="329" t="s">
        <v>2072</v>
      </c>
      <c r="C2" s="329" t="s">
        <v>2072</v>
      </c>
      <c r="D2" s="329" t="s">
        <v>2072</v>
      </c>
      <c r="E2" s="330" t="s">
        <v>2072</v>
      </c>
      <c r="F2" s="329" t="s">
        <v>2072</v>
      </c>
      <c r="G2" s="329" t="s">
        <v>2072</v>
      </c>
      <c r="H2" s="329" t="s">
        <v>2072</v>
      </c>
      <c r="I2" s="329" t="s">
        <v>2072</v>
      </c>
      <c r="J2" s="329" t="s">
        <v>2072</v>
      </c>
      <c r="K2" s="329" t="s">
        <v>2072</v>
      </c>
      <c r="L2" s="329" t="s">
        <v>2072</v>
      </c>
      <c r="M2" s="329"/>
      <c r="N2" s="329" t="s">
        <v>2072</v>
      </c>
      <c r="O2" s="435" t="s">
        <v>2072</v>
      </c>
      <c r="P2" s="435" t="s">
        <v>2072</v>
      </c>
      <c r="Q2" s="435" t="s">
        <v>2072</v>
      </c>
      <c r="R2" s="435" t="s">
        <v>2072</v>
      </c>
      <c r="S2" s="329" t="s">
        <v>2072</v>
      </c>
      <c r="T2" s="329" t="s">
        <v>2072</v>
      </c>
      <c r="U2" s="329" t="s">
        <v>2072</v>
      </c>
      <c r="V2" s="329" t="s">
        <v>2072</v>
      </c>
      <c r="W2" s="329" t="s">
        <v>2072</v>
      </c>
      <c r="X2" s="329" t="s">
        <v>2072</v>
      </c>
      <c r="Y2" s="329" t="s">
        <v>2072</v>
      </c>
      <c r="Z2" s="329" t="s">
        <v>2072</v>
      </c>
      <c r="AA2" s="329" t="s">
        <v>2072</v>
      </c>
      <c r="AB2" s="329" t="s">
        <v>2072</v>
      </c>
      <c r="AC2" s="225"/>
      <c r="AD2" s="225"/>
      <c r="AE2" s="225"/>
      <c r="AF2" s="225"/>
      <c r="AG2" s="225"/>
      <c r="AH2" s="225"/>
      <c r="AI2" s="225"/>
      <c r="AJ2" s="225"/>
      <c r="AK2" s="225"/>
      <c r="AL2" s="225"/>
      <c r="AM2" s="213"/>
      <c r="AN2" s="213"/>
      <c r="AO2" s="213"/>
      <c r="AP2" s="213"/>
      <c r="AQ2" s="213"/>
      <c r="AR2" s="213"/>
      <c r="AS2" s="213"/>
      <c r="AT2" s="213"/>
      <c r="AU2" s="213"/>
    </row>
    <row r="3" spans="1:47" ht="21" hidden="1" thickBot="1">
      <c r="A3" s="345" t="s">
        <v>2072</v>
      </c>
      <c r="B3" s="329" t="s">
        <v>2072</v>
      </c>
      <c r="C3" s="329" t="s">
        <v>2072</v>
      </c>
      <c r="D3" s="329" t="s">
        <v>2072</v>
      </c>
      <c r="E3" s="330" t="s">
        <v>2072</v>
      </c>
      <c r="F3" s="329" t="s">
        <v>2072</v>
      </c>
      <c r="G3" s="329" t="s">
        <v>2072</v>
      </c>
      <c r="H3" s="329" t="s">
        <v>2072</v>
      </c>
      <c r="I3" s="329" t="s">
        <v>2072</v>
      </c>
      <c r="J3" s="329" t="s">
        <v>2072</v>
      </c>
      <c r="K3" s="329" t="s">
        <v>2072</v>
      </c>
      <c r="L3" s="329" t="s">
        <v>2072</v>
      </c>
      <c r="M3" s="329"/>
      <c r="N3" s="329" t="s">
        <v>2072</v>
      </c>
      <c r="O3" s="435" t="s">
        <v>2072</v>
      </c>
      <c r="P3" s="435" t="s">
        <v>2072</v>
      </c>
      <c r="Q3" s="435" t="s">
        <v>2072</v>
      </c>
      <c r="R3" s="435" t="s">
        <v>2072</v>
      </c>
      <c r="S3" s="329" t="s">
        <v>2072</v>
      </c>
      <c r="T3" s="329" t="s">
        <v>2072</v>
      </c>
      <c r="U3" s="329" t="s">
        <v>2072</v>
      </c>
      <c r="V3" s="329" t="s">
        <v>2072</v>
      </c>
      <c r="W3" s="329" t="s">
        <v>2072</v>
      </c>
      <c r="X3" s="329" t="s">
        <v>2072</v>
      </c>
      <c r="Y3" s="329" t="s">
        <v>2072</v>
      </c>
      <c r="Z3" s="329" t="s">
        <v>2072</v>
      </c>
      <c r="AA3" s="329" t="s">
        <v>2072</v>
      </c>
      <c r="AB3" s="329" t="s">
        <v>2072</v>
      </c>
      <c r="AC3" s="225"/>
      <c r="AD3" s="225"/>
      <c r="AE3" s="225"/>
      <c r="AF3" s="225"/>
      <c r="AG3" s="225"/>
      <c r="AH3" s="225"/>
      <c r="AI3" s="225"/>
      <c r="AJ3" s="225"/>
      <c r="AK3" s="225"/>
      <c r="AL3" s="225"/>
      <c r="AM3" s="213"/>
      <c r="AN3" s="213"/>
      <c r="AO3" s="213"/>
      <c r="AP3" s="213"/>
      <c r="AQ3" s="213"/>
      <c r="AR3" s="213"/>
      <c r="AS3" s="213"/>
      <c r="AT3" s="213"/>
      <c r="AU3" s="213"/>
    </row>
    <row r="4" spans="1:47" ht="21" hidden="1" thickBot="1">
      <c r="A4" s="345" t="s">
        <v>2072</v>
      </c>
      <c r="B4" s="329" t="s">
        <v>2072</v>
      </c>
      <c r="C4" s="329" t="s">
        <v>2072</v>
      </c>
      <c r="D4" s="329" t="s">
        <v>2072</v>
      </c>
      <c r="E4" s="330" t="s">
        <v>2072</v>
      </c>
      <c r="F4" s="329" t="s">
        <v>2072</v>
      </c>
      <c r="G4" s="329" t="s">
        <v>2072</v>
      </c>
      <c r="H4" s="329" t="s">
        <v>2072</v>
      </c>
      <c r="I4" s="329" t="s">
        <v>2072</v>
      </c>
      <c r="J4" s="329" t="s">
        <v>2072</v>
      </c>
      <c r="K4" s="329" t="s">
        <v>2072</v>
      </c>
      <c r="L4" s="329" t="s">
        <v>2072</v>
      </c>
      <c r="M4" s="329"/>
      <c r="N4" s="329" t="s">
        <v>2072</v>
      </c>
      <c r="O4" s="435" t="s">
        <v>2072</v>
      </c>
      <c r="P4" s="435" t="s">
        <v>2072</v>
      </c>
      <c r="Q4" s="435" t="s">
        <v>2072</v>
      </c>
      <c r="R4" s="435" t="s">
        <v>2072</v>
      </c>
      <c r="S4" s="329" t="s">
        <v>2072</v>
      </c>
      <c r="T4" s="329" t="s">
        <v>2072</v>
      </c>
      <c r="U4" s="329" t="s">
        <v>2072</v>
      </c>
      <c r="V4" s="329" t="s">
        <v>2072</v>
      </c>
      <c r="W4" s="329" t="s">
        <v>2072</v>
      </c>
      <c r="X4" s="329" t="s">
        <v>2072</v>
      </c>
      <c r="Y4" s="329" t="s">
        <v>2072</v>
      </c>
      <c r="Z4" s="329" t="s">
        <v>2072</v>
      </c>
      <c r="AA4" s="329" t="s">
        <v>2072</v>
      </c>
      <c r="AB4" s="329" t="s">
        <v>2072</v>
      </c>
      <c r="AC4" s="225"/>
      <c r="AD4" s="225"/>
      <c r="AE4" s="225"/>
      <c r="AF4" s="225"/>
      <c r="AG4" s="225"/>
      <c r="AH4" s="225"/>
      <c r="AI4" s="225"/>
      <c r="AJ4" s="225"/>
      <c r="AK4" s="225"/>
      <c r="AL4" s="225"/>
      <c r="AM4" s="213"/>
      <c r="AN4" s="213"/>
      <c r="AO4" s="213"/>
      <c r="AP4" s="213"/>
      <c r="AQ4" s="213"/>
      <c r="AR4" s="213"/>
      <c r="AS4" s="213"/>
      <c r="AT4" s="213"/>
      <c r="AU4" s="213"/>
    </row>
    <row r="5" spans="1:47" ht="21" hidden="1" thickBot="1">
      <c r="A5" s="345" t="s">
        <v>2072</v>
      </c>
      <c r="B5" s="329" t="s">
        <v>2072</v>
      </c>
      <c r="C5" s="329" t="s">
        <v>2072</v>
      </c>
      <c r="D5" s="329" t="s">
        <v>2072</v>
      </c>
      <c r="E5" s="330" t="s">
        <v>2072</v>
      </c>
      <c r="F5" s="329" t="s">
        <v>2072</v>
      </c>
      <c r="G5" s="329" t="s">
        <v>2072</v>
      </c>
      <c r="H5" s="329" t="s">
        <v>2072</v>
      </c>
      <c r="I5" s="329" t="s">
        <v>2072</v>
      </c>
      <c r="J5" s="329" t="s">
        <v>2072</v>
      </c>
      <c r="K5" s="329" t="s">
        <v>2072</v>
      </c>
      <c r="L5" s="329" t="s">
        <v>2072</v>
      </c>
      <c r="M5" s="329"/>
      <c r="N5" s="329" t="s">
        <v>2072</v>
      </c>
      <c r="O5" s="435" t="s">
        <v>2072</v>
      </c>
      <c r="P5" s="435" t="s">
        <v>2072</v>
      </c>
      <c r="Q5" s="435" t="s">
        <v>2072</v>
      </c>
      <c r="R5" s="435" t="s">
        <v>2072</v>
      </c>
      <c r="S5" s="329" t="s">
        <v>2072</v>
      </c>
      <c r="T5" s="329" t="s">
        <v>2072</v>
      </c>
      <c r="U5" s="329" t="s">
        <v>2072</v>
      </c>
      <c r="V5" s="329" t="s">
        <v>2072</v>
      </c>
      <c r="W5" s="329" t="s">
        <v>2072</v>
      </c>
      <c r="X5" s="329" t="s">
        <v>2072</v>
      </c>
      <c r="Y5" s="329" t="s">
        <v>2072</v>
      </c>
      <c r="Z5" s="329" t="s">
        <v>2072</v>
      </c>
      <c r="AA5" s="329" t="s">
        <v>2072</v>
      </c>
      <c r="AB5" s="329" t="s">
        <v>2072</v>
      </c>
      <c r="AC5" s="225"/>
      <c r="AD5" s="225"/>
      <c r="AE5" s="225"/>
      <c r="AF5" s="225"/>
      <c r="AG5" s="225"/>
      <c r="AH5" s="225"/>
      <c r="AI5" s="225"/>
      <c r="AJ5" s="225"/>
      <c r="AK5" s="225"/>
      <c r="AL5" s="225"/>
      <c r="AM5" s="213"/>
      <c r="AN5" s="213"/>
      <c r="AO5" s="213"/>
      <c r="AP5" s="213"/>
      <c r="AQ5" s="213"/>
      <c r="AR5" s="213"/>
      <c r="AS5" s="213"/>
      <c r="AT5" s="213"/>
      <c r="AU5" s="213"/>
    </row>
    <row r="6" spans="1:47" ht="21" hidden="1" thickBot="1">
      <c r="A6" s="345" t="s">
        <v>2072</v>
      </c>
      <c r="B6" s="329" t="s">
        <v>2072</v>
      </c>
      <c r="C6" s="329" t="s">
        <v>2072</v>
      </c>
      <c r="D6" s="329" t="s">
        <v>2072</v>
      </c>
      <c r="E6" s="330" t="s">
        <v>2072</v>
      </c>
      <c r="F6" s="329" t="s">
        <v>2072</v>
      </c>
      <c r="G6" s="329" t="s">
        <v>2072</v>
      </c>
      <c r="H6" s="329" t="s">
        <v>2072</v>
      </c>
      <c r="I6" s="329" t="s">
        <v>2072</v>
      </c>
      <c r="J6" s="329" t="s">
        <v>2072</v>
      </c>
      <c r="K6" s="329" t="s">
        <v>2072</v>
      </c>
      <c r="L6" s="329" t="s">
        <v>2072</v>
      </c>
      <c r="M6" s="329"/>
      <c r="N6" s="329" t="s">
        <v>2072</v>
      </c>
      <c r="O6" s="435" t="s">
        <v>2072</v>
      </c>
      <c r="P6" s="435" t="s">
        <v>2072</v>
      </c>
      <c r="Q6" s="435" t="s">
        <v>2072</v>
      </c>
      <c r="R6" s="435" t="s">
        <v>2072</v>
      </c>
      <c r="S6" s="329" t="s">
        <v>2072</v>
      </c>
      <c r="T6" s="329" t="s">
        <v>2072</v>
      </c>
      <c r="U6" s="329" t="s">
        <v>2072</v>
      </c>
      <c r="V6" s="329" t="s">
        <v>2072</v>
      </c>
      <c r="W6" s="329" t="s">
        <v>2072</v>
      </c>
      <c r="X6" s="329" t="s">
        <v>2072</v>
      </c>
      <c r="Y6" s="329" t="s">
        <v>2072</v>
      </c>
      <c r="Z6" s="329" t="s">
        <v>2072</v>
      </c>
      <c r="AA6" s="329" t="s">
        <v>2072</v>
      </c>
      <c r="AB6" s="329" t="s">
        <v>2072</v>
      </c>
      <c r="AC6" s="225"/>
      <c r="AD6" s="225"/>
      <c r="AE6" s="225"/>
      <c r="AF6" s="225"/>
      <c r="AG6" s="225"/>
      <c r="AH6" s="225"/>
      <c r="AI6" s="225"/>
      <c r="AJ6" s="225"/>
      <c r="AK6" s="225"/>
      <c r="AL6" s="225"/>
      <c r="AM6" s="213"/>
      <c r="AN6" s="213"/>
      <c r="AO6" s="213"/>
      <c r="AP6" s="213"/>
      <c r="AQ6" s="213"/>
      <c r="AR6" s="213"/>
      <c r="AS6" s="213"/>
      <c r="AT6" s="213"/>
      <c r="AU6" s="213"/>
    </row>
    <row r="7" spans="1:47" ht="21" hidden="1" thickBot="1">
      <c r="A7" s="345" t="s">
        <v>2072</v>
      </c>
      <c r="B7" s="329" t="s">
        <v>2072</v>
      </c>
      <c r="C7" s="329" t="s">
        <v>2072</v>
      </c>
      <c r="D7" s="329" t="s">
        <v>2072</v>
      </c>
      <c r="E7" s="330" t="s">
        <v>2072</v>
      </c>
      <c r="F7" s="329" t="s">
        <v>2072</v>
      </c>
      <c r="G7" s="329" t="s">
        <v>2072</v>
      </c>
      <c r="H7" s="329" t="s">
        <v>2072</v>
      </c>
      <c r="I7" s="329" t="s">
        <v>2072</v>
      </c>
      <c r="J7" s="329" t="s">
        <v>2072</v>
      </c>
      <c r="K7" s="329" t="s">
        <v>2072</v>
      </c>
      <c r="L7" s="329" t="s">
        <v>2072</v>
      </c>
      <c r="M7" s="329"/>
      <c r="N7" s="329" t="s">
        <v>2072</v>
      </c>
      <c r="O7" s="435" t="s">
        <v>2072</v>
      </c>
      <c r="P7" s="435" t="s">
        <v>2072</v>
      </c>
      <c r="Q7" s="435" t="s">
        <v>2072</v>
      </c>
      <c r="R7" s="435" t="s">
        <v>2072</v>
      </c>
      <c r="S7" s="329" t="s">
        <v>2072</v>
      </c>
      <c r="T7" s="329" t="s">
        <v>2072</v>
      </c>
      <c r="U7" s="329" t="s">
        <v>2072</v>
      </c>
      <c r="V7" s="329" t="s">
        <v>2072</v>
      </c>
      <c r="W7" s="329" t="s">
        <v>2072</v>
      </c>
      <c r="X7" s="329" t="s">
        <v>2072</v>
      </c>
      <c r="Y7" s="329" t="s">
        <v>2072</v>
      </c>
      <c r="Z7" s="329" t="s">
        <v>2072</v>
      </c>
      <c r="AA7" s="329" t="s">
        <v>2072</v>
      </c>
      <c r="AB7" s="329" t="s">
        <v>2072</v>
      </c>
      <c r="AC7" s="225"/>
      <c r="AD7" s="225"/>
      <c r="AE7" s="225"/>
      <c r="AF7" s="225"/>
      <c r="AG7" s="225"/>
      <c r="AH7" s="225"/>
      <c r="AI7" s="225"/>
      <c r="AJ7" s="225"/>
      <c r="AK7" s="225"/>
      <c r="AL7" s="225"/>
      <c r="AM7" s="213"/>
      <c r="AN7" s="213"/>
      <c r="AO7" s="213"/>
      <c r="AP7" s="213"/>
      <c r="AQ7" s="213"/>
      <c r="AR7" s="213"/>
      <c r="AS7" s="213"/>
      <c r="AT7" s="213"/>
      <c r="AU7" s="213"/>
    </row>
    <row r="8" spans="1:47" ht="21" hidden="1" thickBot="1">
      <c r="A8" s="345" t="s">
        <v>2072</v>
      </c>
      <c r="B8" s="329" t="s">
        <v>2072</v>
      </c>
      <c r="C8" s="329" t="s">
        <v>2072</v>
      </c>
      <c r="D8" s="329" t="s">
        <v>2072</v>
      </c>
      <c r="E8" s="330" t="s">
        <v>2072</v>
      </c>
      <c r="F8" s="329" t="s">
        <v>2072</v>
      </c>
      <c r="G8" s="329" t="s">
        <v>2072</v>
      </c>
      <c r="H8" s="329" t="s">
        <v>2072</v>
      </c>
      <c r="I8" s="329" t="s">
        <v>2072</v>
      </c>
      <c r="J8" s="329" t="s">
        <v>2072</v>
      </c>
      <c r="K8" s="329" t="s">
        <v>2072</v>
      </c>
      <c r="L8" s="329" t="s">
        <v>2072</v>
      </c>
      <c r="M8" s="329"/>
      <c r="N8" s="329" t="s">
        <v>2072</v>
      </c>
      <c r="O8" s="435" t="s">
        <v>2072</v>
      </c>
      <c r="P8" s="435" t="s">
        <v>2072</v>
      </c>
      <c r="Q8" s="435" t="s">
        <v>2072</v>
      </c>
      <c r="R8" s="435" t="s">
        <v>2072</v>
      </c>
      <c r="S8" s="329" t="s">
        <v>2072</v>
      </c>
      <c r="T8" s="329" t="s">
        <v>2072</v>
      </c>
      <c r="U8" s="329" t="s">
        <v>2072</v>
      </c>
      <c r="V8" s="329" t="s">
        <v>2072</v>
      </c>
      <c r="W8" s="329" t="s">
        <v>2072</v>
      </c>
      <c r="X8" s="329" t="s">
        <v>2072</v>
      </c>
      <c r="Y8" s="329" t="s">
        <v>2072</v>
      </c>
      <c r="Z8" s="329" t="s">
        <v>2072</v>
      </c>
      <c r="AA8" s="329" t="s">
        <v>2072</v>
      </c>
      <c r="AB8" s="329" t="s">
        <v>2072</v>
      </c>
      <c r="AC8" s="225"/>
      <c r="AD8" s="225"/>
      <c r="AE8" s="225"/>
      <c r="AF8" s="225"/>
      <c r="AG8" s="225"/>
      <c r="AH8" s="225"/>
      <c r="AI8" s="225"/>
      <c r="AJ8" s="225"/>
      <c r="AK8" s="225"/>
      <c r="AL8" s="225"/>
      <c r="AM8" s="213"/>
      <c r="AN8" s="213"/>
      <c r="AO8" s="213"/>
      <c r="AP8" s="213"/>
      <c r="AQ8" s="213"/>
      <c r="AR8" s="213"/>
      <c r="AS8" s="213"/>
      <c r="AT8" s="213"/>
      <c r="AU8" s="213"/>
    </row>
    <row r="9" spans="1:47" ht="21" hidden="1" thickBot="1">
      <c r="A9" s="345" t="s">
        <v>2072</v>
      </c>
      <c r="B9" s="329" t="s">
        <v>2072</v>
      </c>
      <c r="C9" s="329" t="s">
        <v>2072</v>
      </c>
      <c r="D9" s="329" t="s">
        <v>2072</v>
      </c>
      <c r="E9" s="330" t="s">
        <v>2072</v>
      </c>
      <c r="F9" s="329" t="s">
        <v>2072</v>
      </c>
      <c r="G9" s="329" t="s">
        <v>2072</v>
      </c>
      <c r="H9" s="329" t="s">
        <v>2072</v>
      </c>
      <c r="I9" s="329" t="s">
        <v>2072</v>
      </c>
      <c r="J9" s="329" t="s">
        <v>2072</v>
      </c>
      <c r="K9" s="329" t="s">
        <v>2072</v>
      </c>
      <c r="L9" s="329" t="s">
        <v>2072</v>
      </c>
      <c r="M9" s="329"/>
      <c r="N9" s="329" t="s">
        <v>2072</v>
      </c>
      <c r="O9" s="435" t="s">
        <v>2072</v>
      </c>
      <c r="P9" s="435" t="s">
        <v>2072</v>
      </c>
      <c r="Q9" s="435" t="s">
        <v>2072</v>
      </c>
      <c r="R9" s="435" t="s">
        <v>2072</v>
      </c>
      <c r="S9" s="329" t="s">
        <v>2072</v>
      </c>
      <c r="T9" s="329" t="s">
        <v>2072</v>
      </c>
      <c r="U9" s="329" t="s">
        <v>2072</v>
      </c>
      <c r="V9" s="329" t="s">
        <v>2072</v>
      </c>
      <c r="W9" s="329" t="s">
        <v>2072</v>
      </c>
      <c r="X9" s="329" t="s">
        <v>2072</v>
      </c>
      <c r="Y9" s="329" t="s">
        <v>2072</v>
      </c>
      <c r="Z9" s="329" t="s">
        <v>2072</v>
      </c>
      <c r="AA9" s="329" t="s">
        <v>2072</v>
      </c>
      <c r="AB9" s="329" t="s">
        <v>2072</v>
      </c>
      <c r="AC9" s="225"/>
      <c r="AD9" s="225"/>
      <c r="AE9" s="225"/>
      <c r="AF9" s="225"/>
      <c r="AG9" s="225"/>
      <c r="AH9" s="225"/>
      <c r="AI9" s="225"/>
      <c r="AJ9" s="225"/>
      <c r="AK9" s="225"/>
      <c r="AL9" s="225"/>
      <c r="AM9" s="213"/>
      <c r="AN9" s="213"/>
      <c r="AO9" s="213"/>
      <c r="AP9" s="213"/>
      <c r="AQ9" s="213"/>
      <c r="AR9" s="213"/>
      <c r="AS9" s="213"/>
      <c r="AT9" s="213"/>
      <c r="AU9" s="213"/>
    </row>
    <row r="10" spans="1:47" ht="21" hidden="1" thickBot="1">
      <c r="A10" s="345" t="s">
        <v>2072</v>
      </c>
      <c r="B10" s="329" t="s">
        <v>2072</v>
      </c>
      <c r="C10" s="329" t="s">
        <v>2072</v>
      </c>
      <c r="D10" s="329" t="s">
        <v>2072</v>
      </c>
      <c r="E10" s="330" t="s">
        <v>2072</v>
      </c>
      <c r="F10" s="329" t="s">
        <v>2072</v>
      </c>
      <c r="G10" s="329" t="s">
        <v>2072</v>
      </c>
      <c r="H10" s="329" t="s">
        <v>2072</v>
      </c>
      <c r="I10" s="329" t="s">
        <v>2072</v>
      </c>
      <c r="J10" s="329" t="s">
        <v>2072</v>
      </c>
      <c r="K10" s="329" t="s">
        <v>2072</v>
      </c>
      <c r="L10" s="329" t="s">
        <v>2072</v>
      </c>
      <c r="M10" s="329"/>
      <c r="N10" s="329" t="s">
        <v>2072</v>
      </c>
      <c r="O10" s="435" t="s">
        <v>2072</v>
      </c>
      <c r="P10" s="435" t="s">
        <v>2072</v>
      </c>
      <c r="Q10" s="435" t="s">
        <v>2072</v>
      </c>
      <c r="R10" s="435" t="s">
        <v>2072</v>
      </c>
      <c r="S10" s="329" t="s">
        <v>2072</v>
      </c>
      <c r="T10" s="329" t="s">
        <v>2072</v>
      </c>
      <c r="U10" s="329" t="s">
        <v>2072</v>
      </c>
      <c r="V10" s="329" t="s">
        <v>2072</v>
      </c>
      <c r="W10" s="329" t="s">
        <v>2072</v>
      </c>
      <c r="X10" s="329" t="s">
        <v>2072</v>
      </c>
      <c r="Y10" s="329" t="s">
        <v>2072</v>
      </c>
      <c r="Z10" s="329" t="s">
        <v>2072</v>
      </c>
      <c r="AA10" s="329" t="s">
        <v>2072</v>
      </c>
      <c r="AB10" s="329" t="s">
        <v>2072</v>
      </c>
      <c r="AC10" s="225"/>
      <c r="AD10" s="225"/>
      <c r="AE10" s="225"/>
      <c r="AF10" s="225"/>
      <c r="AG10" s="225"/>
      <c r="AH10" s="225"/>
      <c r="AI10" s="225"/>
      <c r="AJ10" s="225"/>
      <c r="AK10" s="225"/>
      <c r="AL10" s="225"/>
      <c r="AM10" s="213"/>
      <c r="AN10" s="213"/>
      <c r="AO10" s="213"/>
      <c r="AP10" s="213"/>
      <c r="AQ10" s="213"/>
      <c r="AR10" s="213"/>
      <c r="AS10" s="213"/>
      <c r="AT10" s="213"/>
      <c r="AU10" s="213"/>
    </row>
    <row r="11" spans="1:47" ht="21" hidden="1" thickBot="1">
      <c r="A11" s="345" t="s">
        <v>2072</v>
      </c>
      <c r="B11" s="329" t="s">
        <v>2072</v>
      </c>
      <c r="C11" s="329" t="s">
        <v>2072</v>
      </c>
      <c r="D11" s="329" t="s">
        <v>2072</v>
      </c>
      <c r="E11" s="330" t="s">
        <v>2072</v>
      </c>
      <c r="F11" s="329" t="s">
        <v>2072</v>
      </c>
      <c r="G11" s="329" t="s">
        <v>2072</v>
      </c>
      <c r="H11" s="329" t="s">
        <v>2072</v>
      </c>
      <c r="I11" s="329" t="s">
        <v>2072</v>
      </c>
      <c r="J11" s="329" t="s">
        <v>2072</v>
      </c>
      <c r="K11" s="329" t="s">
        <v>2072</v>
      </c>
      <c r="L11" s="329" t="s">
        <v>2072</v>
      </c>
      <c r="M11" s="329"/>
      <c r="N11" s="329" t="s">
        <v>2072</v>
      </c>
      <c r="O11" s="435" t="s">
        <v>2072</v>
      </c>
      <c r="P11" s="435" t="s">
        <v>2072</v>
      </c>
      <c r="Q11" s="435" t="s">
        <v>2072</v>
      </c>
      <c r="R11" s="435" t="s">
        <v>2072</v>
      </c>
      <c r="S11" s="329" t="s">
        <v>2072</v>
      </c>
      <c r="T11" s="329" t="s">
        <v>2072</v>
      </c>
      <c r="U11" s="329" t="s">
        <v>2072</v>
      </c>
      <c r="V11" s="329" t="s">
        <v>2072</v>
      </c>
      <c r="W11" s="329" t="s">
        <v>2072</v>
      </c>
      <c r="X11" s="329" t="s">
        <v>2072</v>
      </c>
      <c r="Y11" s="329" t="s">
        <v>2072</v>
      </c>
      <c r="Z11" s="329" t="s">
        <v>2072</v>
      </c>
      <c r="AA11" s="329" t="s">
        <v>2072</v>
      </c>
      <c r="AB11" s="329" t="s">
        <v>2072</v>
      </c>
      <c r="AC11" s="225"/>
      <c r="AD11" s="225"/>
      <c r="AE11" s="225"/>
      <c r="AF11" s="225"/>
      <c r="AG11" s="225"/>
      <c r="AH11" s="225"/>
      <c r="AI11" s="225"/>
      <c r="AJ11" s="225"/>
      <c r="AK11" s="225"/>
      <c r="AL11" s="225"/>
      <c r="AM11" s="213"/>
      <c r="AN11" s="213"/>
      <c r="AO11" s="213"/>
      <c r="AP11" s="213"/>
      <c r="AQ11" s="213"/>
      <c r="AR11" s="213"/>
      <c r="AS11" s="213"/>
      <c r="AT11" s="213"/>
      <c r="AU11" s="213"/>
    </row>
    <row r="12" spans="1:47" ht="21" hidden="1" thickBot="1">
      <c r="A12" s="345" t="s">
        <v>2072</v>
      </c>
      <c r="B12" s="329" t="s">
        <v>2072</v>
      </c>
      <c r="C12" s="329" t="s">
        <v>2072</v>
      </c>
      <c r="D12" s="329" t="s">
        <v>2072</v>
      </c>
      <c r="E12" s="330" t="s">
        <v>2072</v>
      </c>
      <c r="F12" s="329" t="s">
        <v>2072</v>
      </c>
      <c r="G12" s="329" t="s">
        <v>2072</v>
      </c>
      <c r="H12" s="329" t="s">
        <v>2072</v>
      </c>
      <c r="I12" s="329" t="s">
        <v>2072</v>
      </c>
      <c r="J12" s="329" t="s">
        <v>2072</v>
      </c>
      <c r="K12" s="329" t="s">
        <v>2072</v>
      </c>
      <c r="L12" s="329" t="s">
        <v>2072</v>
      </c>
      <c r="M12" s="329"/>
      <c r="N12" s="329" t="s">
        <v>2072</v>
      </c>
      <c r="O12" s="435" t="s">
        <v>2072</v>
      </c>
      <c r="P12" s="435" t="s">
        <v>2072</v>
      </c>
      <c r="Q12" s="435" t="s">
        <v>2072</v>
      </c>
      <c r="R12" s="435" t="s">
        <v>2072</v>
      </c>
      <c r="S12" s="329" t="s">
        <v>2072</v>
      </c>
      <c r="T12" s="329" t="s">
        <v>2072</v>
      </c>
      <c r="U12" s="329" t="s">
        <v>2072</v>
      </c>
      <c r="V12" s="329" t="s">
        <v>2072</v>
      </c>
      <c r="W12" s="329" t="s">
        <v>2072</v>
      </c>
      <c r="X12" s="329" t="s">
        <v>2072</v>
      </c>
      <c r="Y12" s="329" t="s">
        <v>2072</v>
      </c>
      <c r="Z12" s="329" t="s">
        <v>2072</v>
      </c>
      <c r="AA12" s="329" t="s">
        <v>2072</v>
      </c>
      <c r="AB12" s="329" t="s">
        <v>2072</v>
      </c>
      <c r="AC12" s="225"/>
      <c r="AD12" s="225"/>
      <c r="AE12" s="225"/>
      <c r="AF12" s="225"/>
      <c r="AG12" s="225"/>
      <c r="AH12" s="225"/>
      <c r="AI12" s="225"/>
      <c r="AJ12" s="225"/>
      <c r="AK12" s="225"/>
      <c r="AL12" s="225"/>
      <c r="AM12" s="213"/>
      <c r="AN12" s="213"/>
      <c r="AO12" s="213"/>
      <c r="AP12" s="213"/>
      <c r="AQ12" s="213"/>
      <c r="AR12" s="213"/>
      <c r="AS12" s="213"/>
      <c r="AT12" s="213"/>
      <c r="AU12" s="213"/>
    </row>
    <row r="13" spans="1:47" ht="21" hidden="1" thickBot="1">
      <c r="A13" s="345" t="s">
        <v>2072</v>
      </c>
      <c r="B13" s="329" t="s">
        <v>2072</v>
      </c>
      <c r="C13" s="329" t="s">
        <v>2072</v>
      </c>
      <c r="D13" s="329" t="s">
        <v>2072</v>
      </c>
      <c r="E13" s="330" t="s">
        <v>2072</v>
      </c>
      <c r="F13" s="329" t="s">
        <v>2072</v>
      </c>
      <c r="G13" s="329" t="s">
        <v>2072</v>
      </c>
      <c r="H13" s="329" t="s">
        <v>2072</v>
      </c>
      <c r="I13" s="329" t="s">
        <v>2072</v>
      </c>
      <c r="J13" s="329" t="s">
        <v>2072</v>
      </c>
      <c r="K13" s="329" t="s">
        <v>2072</v>
      </c>
      <c r="L13" s="329" t="s">
        <v>2072</v>
      </c>
      <c r="M13" s="329"/>
      <c r="N13" s="329" t="s">
        <v>2072</v>
      </c>
      <c r="O13" s="435" t="s">
        <v>2072</v>
      </c>
      <c r="P13" s="435" t="s">
        <v>2072</v>
      </c>
      <c r="Q13" s="435" t="s">
        <v>2072</v>
      </c>
      <c r="R13" s="435" t="s">
        <v>2072</v>
      </c>
      <c r="S13" s="329" t="s">
        <v>2072</v>
      </c>
      <c r="T13" s="329" t="s">
        <v>2072</v>
      </c>
      <c r="U13" s="329" t="s">
        <v>2072</v>
      </c>
      <c r="V13" s="329" t="s">
        <v>2072</v>
      </c>
      <c r="W13" s="329" t="s">
        <v>2072</v>
      </c>
      <c r="X13" s="329" t="s">
        <v>2072</v>
      </c>
      <c r="Y13" s="329" t="s">
        <v>2072</v>
      </c>
      <c r="Z13" s="329" t="s">
        <v>2072</v>
      </c>
      <c r="AA13" s="329" t="s">
        <v>2072</v>
      </c>
      <c r="AB13" s="329" t="s">
        <v>2072</v>
      </c>
      <c r="AC13" s="225"/>
      <c r="AD13" s="225"/>
      <c r="AE13" s="225"/>
      <c r="AF13" s="225"/>
      <c r="AG13" s="225"/>
      <c r="AH13" s="225"/>
      <c r="AI13" s="225"/>
      <c r="AJ13" s="225"/>
      <c r="AK13" s="225"/>
      <c r="AL13" s="225"/>
      <c r="AM13" s="213"/>
      <c r="AN13" s="213"/>
      <c r="AO13" s="213"/>
      <c r="AP13" s="213"/>
      <c r="AQ13" s="213"/>
      <c r="AR13" s="213"/>
      <c r="AS13" s="213"/>
      <c r="AT13" s="213"/>
      <c r="AU13" s="213"/>
    </row>
    <row r="14" spans="1:47" ht="21" hidden="1" thickBot="1">
      <c r="A14" s="345" t="s">
        <v>2072</v>
      </c>
      <c r="B14" s="329" t="s">
        <v>2072</v>
      </c>
      <c r="C14" s="329" t="s">
        <v>2072</v>
      </c>
      <c r="D14" s="329" t="s">
        <v>2072</v>
      </c>
      <c r="E14" s="330" t="s">
        <v>2072</v>
      </c>
      <c r="F14" s="329" t="s">
        <v>2072</v>
      </c>
      <c r="G14" s="329" t="s">
        <v>2072</v>
      </c>
      <c r="H14" s="329" t="s">
        <v>2072</v>
      </c>
      <c r="I14" s="329" t="s">
        <v>2072</v>
      </c>
      <c r="J14" s="329" t="s">
        <v>2072</v>
      </c>
      <c r="K14" s="329" t="s">
        <v>2072</v>
      </c>
      <c r="L14" s="329" t="s">
        <v>2072</v>
      </c>
      <c r="M14" s="329"/>
      <c r="N14" s="329" t="s">
        <v>2072</v>
      </c>
      <c r="O14" s="435" t="s">
        <v>2072</v>
      </c>
      <c r="P14" s="435" t="s">
        <v>2072</v>
      </c>
      <c r="Q14" s="435" t="s">
        <v>2072</v>
      </c>
      <c r="R14" s="435" t="s">
        <v>2072</v>
      </c>
      <c r="S14" s="329" t="s">
        <v>2072</v>
      </c>
      <c r="T14" s="329" t="s">
        <v>2072</v>
      </c>
      <c r="U14" s="329" t="s">
        <v>2072</v>
      </c>
      <c r="V14" s="329" t="s">
        <v>2072</v>
      </c>
      <c r="W14" s="329" t="s">
        <v>2072</v>
      </c>
      <c r="X14" s="329" t="s">
        <v>2072</v>
      </c>
      <c r="Y14" s="329" t="s">
        <v>2072</v>
      </c>
      <c r="Z14" s="329" t="s">
        <v>2072</v>
      </c>
      <c r="AA14" s="329" t="s">
        <v>2072</v>
      </c>
      <c r="AB14" s="329" t="s">
        <v>2072</v>
      </c>
      <c r="AC14" s="225"/>
      <c r="AD14" s="225"/>
      <c r="AE14" s="225"/>
      <c r="AF14" s="225"/>
      <c r="AG14" s="225"/>
      <c r="AH14" s="225"/>
      <c r="AI14" s="225"/>
      <c r="AJ14" s="225"/>
      <c r="AK14" s="225"/>
      <c r="AL14" s="225"/>
      <c r="AM14" s="213"/>
      <c r="AN14" s="213"/>
      <c r="AO14" s="213"/>
      <c r="AP14" s="213"/>
      <c r="AQ14" s="213"/>
      <c r="AR14" s="213"/>
      <c r="AS14" s="213"/>
      <c r="AT14" s="213"/>
      <c r="AU14" s="213"/>
    </row>
    <row r="15" spans="1:47" ht="21" hidden="1" thickBot="1">
      <c r="A15" s="345" t="s">
        <v>2072</v>
      </c>
      <c r="B15" s="329" t="s">
        <v>2072</v>
      </c>
      <c r="C15" s="329" t="s">
        <v>2072</v>
      </c>
      <c r="D15" s="329" t="s">
        <v>2072</v>
      </c>
      <c r="E15" s="330" t="s">
        <v>2072</v>
      </c>
      <c r="F15" s="329" t="s">
        <v>2072</v>
      </c>
      <c r="G15" s="329" t="s">
        <v>2072</v>
      </c>
      <c r="H15" s="329" t="s">
        <v>2072</v>
      </c>
      <c r="I15" s="329" t="s">
        <v>2072</v>
      </c>
      <c r="J15" s="329" t="s">
        <v>2072</v>
      </c>
      <c r="K15" s="329" t="s">
        <v>2072</v>
      </c>
      <c r="L15" s="329" t="s">
        <v>2072</v>
      </c>
      <c r="M15" s="329"/>
      <c r="N15" s="329" t="s">
        <v>2072</v>
      </c>
      <c r="O15" s="435" t="s">
        <v>2072</v>
      </c>
      <c r="P15" s="435" t="s">
        <v>2072</v>
      </c>
      <c r="Q15" s="435" t="s">
        <v>2072</v>
      </c>
      <c r="R15" s="435" t="s">
        <v>2072</v>
      </c>
      <c r="S15" s="329" t="s">
        <v>2072</v>
      </c>
      <c r="T15" s="329" t="s">
        <v>2072</v>
      </c>
      <c r="U15" s="329" t="s">
        <v>2072</v>
      </c>
      <c r="V15" s="329" t="s">
        <v>2072</v>
      </c>
      <c r="W15" s="329" t="s">
        <v>2072</v>
      </c>
      <c r="X15" s="329" t="s">
        <v>2072</v>
      </c>
      <c r="Y15" s="329" t="s">
        <v>2072</v>
      </c>
      <c r="Z15" s="329" t="s">
        <v>2072</v>
      </c>
      <c r="AA15" s="329" t="s">
        <v>2072</v>
      </c>
      <c r="AB15" s="329" t="s">
        <v>2072</v>
      </c>
      <c r="AC15" s="225"/>
      <c r="AD15" s="225"/>
      <c r="AE15" s="225"/>
      <c r="AF15" s="225"/>
      <c r="AG15" s="225"/>
      <c r="AH15" s="225"/>
      <c r="AI15" s="225"/>
      <c r="AJ15" s="225"/>
      <c r="AK15" s="225"/>
      <c r="AL15" s="225"/>
      <c r="AM15" s="213"/>
      <c r="AN15" s="213"/>
      <c r="AO15" s="213"/>
      <c r="AP15" s="213"/>
      <c r="AQ15" s="213"/>
      <c r="AR15" s="213"/>
      <c r="AS15" s="213"/>
      <c r="AT15" s="213"/>
      <c r="AU15" s="213"/>
    </row>
    <row r="16" spans="1:47" ht="21" hidden="1" thickBot="1">
      <c r="A16" s="345" t="s">
        <v>2072</v>
      </c>
      <c r="B16" s="329" t="s">
        <v>2072</v>
      </c>
      <c r="C16" s="329" t="s">
        <v>2072</v>
      </c>
      <c r="D16" s="329" t="s">
        <v>2072</v>
      </c>
      <c r="E16" s="330" t="s">
        <v>2072</v>
      </c>
      <c r="F16" s="329" t="s">
        <v>2072</v>
      </c>
      <c r="G16" s="329" t="s">
        <v>2072</v>
      </c>
      <c r="H16" s="329" t="s">
        <v>2072</v>
      </c>
      <c r="I16" s="329" t="s">
        <v>2072</v>
      </c>
      <c r="J16" s="329" t="s">
        <v>2072</v>
      </c>
      <c r="K16" s="329" t="s">
        <v>2072</v>
      </c>
      <c r="L16" s="329" t="s">
        <v>2072</v>
      </c>
      <c r="M16" s="329"/>
      <c r="N16" s="329" t="s">
        <v>2072</v>
      </c>
      <c r="O16" s="435" t="s">
        <v>2072</v>
      </c>
      <c r="P16" s="435" t="s">
        <v>2072</v>
      </c>
      <c r="Q16" s="435" t="s">
        <v>2072</v>
      </c>
      <c r="R16" s="435" t="s">
        <v>2072</v>
      </c>
      <c r="S16" s="329" t="s">
        <v>2072</v>
      </c>
      <c r="T16" s="329" t="s">
        <v>2072</v>
      </c>
      <c r="U16" s="329" t="s">
        <v>2072</v>
      </c>
      <c r="V16" s="329" t="s">
        <v>2072</v>
      </c>
      <c r="W16" s="329" t="s">
        <v>2072</v>
      </c>
      <c r="X16" s="329" t="s">
        <v>2072</v>
      </c>
      <c r="Y16" s="329" t="s">
        <v>2072</v>
      </c>
      <c r="Z16" s="329" t="s">
        <v>2072</v>
      </c>
      <c r="AA16" s="329" t="s">
        <v>2072</v>
      </c>
      <c r="AB16" s="329" t="s">
        <v>2072</v>
      </c>
      <c r="AC16" s="225"/>
      <c r="AD16" s="225"/>
      <c r="AE16" s="225"/>
      <c r="AF16" s="225"/>
      <c r="AG16" s="225"/>
      <c r="AH16" s="225"/>
      <c r="AI16" s="225"/>
      <c r="AJ16" s="225"/>
      <c r="AK16" s="225"/>
      <c r="AL16" s="225"/>
      <c r="AM16" s="213"/>
      <c r="AN16" s="213"/>
      <c r="AO16" s="213"/>
      <c r="AP16" s="213"/>
      <c r="AQ16" s="213"/>
      <c r="AR16" s="213"/>
      <c r="AS16" s="213"/>
      <c r="AT16" s="213"/>
      <c r="AU16" s="213"/>
    </row>
    <row r="17" spans="1:47" ht="21" hidden="1" thickBot="1">
      <c r="A17" s="345" t="s">
        <v>2072</v>
      </c>
      <c r="B17" s="329" t="s">
        <v>2072</v>
      </c>
      <c r="C17" s="329" t="s">
        <v>2072</v>
      </c>
      <c r="D17" s="329" t="s">
        <v>2072</v>
      </c>
      <c r="E17" s="330" t="s">
        <v>2072</v>
      </c>
      <c r="F17" s="329" t="s">
        <v>2072</v>
      </c>
      <c r="G17" s="329" t="s">
        <v>2072</v>
      </c>
      <c r="H17" s="329" t="s">
        <v>2072</v>
      </c>
      <c r="I17" s="329" t="s">
        <v>2072</v>
      </c>
      <c r="J17" s="329" t="s">
        <v>2072</v>
      </c>
      <c r="K17" s="329" t="s">
        <v>2072</v>
      </c>
      <c r="L17" s="329" t="s">
        <v>2072</v>
      </c>
      <c r="M17" s="329"/>
      <c r="N17" s="329" t="s">
        <v>2072</v>
      </c>
      <c r="O17" s="435" t="s">
        <v>2072</v>
      </c>
      <c r="P17" s="435" t="s">
        <v>2072</v>
      </c>
      <c r="Q17" s="435" t="s">
        <v>2072</v>
      </c>
      <c r="R17" s="435" t="s">
        <v>2072</v>
      </c>
      <c r="S17" s="329" t="s">
        <v>2072</v>
      </c>
      <c r="T17" s="329" t="s">
        <v>2072</v>
      </c>
      <c r="U17" s="329" t="s">
        <v>2072</v>
      </c>
      <c r="V17" s="329" t="s">
        <v>2072</v>
      </c>
      <c r="W17" s="329" t="s">
        <v>2072</v>
      </c>
      <c r="X17" s="329" t="s">
        <v>2072</v>
      </c>
      <c r="Y17" s="329" t="s">
        <v>2072</v>
      </c>
      <c r="Z17" s="329" t="s">
        <v>2072</v>
      </c>
      <c r="AA17" s="329" t="s">
        <v>2072</v>
      </c>
      <c r="AB17" s="329" t="s">
        <v>2072</v>
      </c>
      <c r="AC17" s="225"/>
      <c r="AD17" s="225"/>
      <c r="AE17" s="225"/>
      <c r="AF17" s="225"/>
      <c r="AG17" s="225"/>
      <c r="AH17" s="225"/>
      <c r="AI17" s="225"/>
      <c r="AJ17" s="225"/>
      <c r="AK17" s="225"/>
      <c r="AL17" s="225"/>
      <c r="AM17" s="213"/>
      <c r="AN17" s="213"/>
      <c r="AO17" s="213"/>
      <c r="AP17" s="213"/>
      <c r="AQ17" s="213"/>
      <c r="AR17" s="213"/>
      <c r="AS17" s="213"/>
      <c r="AT17" s="213"/>
      <c r="AU17" s="213"/>
    </row>
    <row r="18" spans="1:47" ht="21" hidden="1" thickBot="1">
      <c r="A18" s="345" t="s">
        <v>2072</v>
      </c>
      <c r="B18" s="329" t="s">
        <v>2072</v>
      </c>
      <c r="C18" s="329" t="s">
        <v>2072</v>
      </c>
      <c r="D18" s="329" t="s">
        <v>2072</v>
      </c>
      <c r="E18" s="330" t="s">
        <v>2072</v>
      </c>
      <c r="F18" s="329" t="s">
        <v>2072</v>
      </c>
      <c r="G18" s="329" t="s">
        <v>2072</v>
      </c>
      <c r="H18" s="329" t="s">
        <v>2072</v>
      </c>
      <c r="I18" s="329" t="s">
        <v>2072</v>
      </c>
      <c r="J18" s="329" t="s">
        <v>2072</v>
      </c>
      <c r="K18" s="329" t="s">
        <v>2072</v>
      </c>
      <c r="L18" s="329" t="s">
        <v>2072</v>
      </c>
      <c r="M18" s="329"/>
      <c r="N18" s="329" t="s">
        <v>2072</v>
      </c>
      <c r="O18" s="435" t="s">
        <v>2072</v>
      </c>
      <c r="P18" s="435" t="s">
        <v>2072</v>
      </c>
      <c r="Q18" s="435" t="s">
        <v>2072</v>
      </c>
      <c r="R18" s="435" t="s">
        <v>2072</v>
      </c>
      <c r="S18" s="329" t="s">
        <v>2072</v>
      </c>
      <c r="T18" s="329" t="s">
        <v>2072</v>
      </c>
      <c r="U18" s="329" t="s">
        <v>2072</v>
      </c>
      <c r="V18" s="329" t="s">
        <v>2072</v>
      </c>
      <c r="W18" s="329" t="s">
        <v>2072</v>
      </c>
      <c r="X18" s="329" t="s">
        <v>2072</v>
      </c>
      <c r="Y18" s="329" t="s">
        <v>2072</v>
      </c>
      <c r="Z18" s="329" t="s">
        <v>2072</v>
      </c>
      <c r="AA18" s="329" t="s">
        <v>2072</v>
      </c>
      <c r="AB18" s="329" t="s">
        <v>2072</v>
      </c>
      <c r="AC18" s="225"/>
      <c r="AD18" s="225"/>
      <c r="AE18" s="225"/>
      <c r="AF18" s="225"/>
      <c r="AG18" s="225"/>
      <c r="AH18" s="225"/>
      <c r="AI18" s="225"/>
      <c r="AJ18" s="225"/>
      <c r="AK18" s="225"/>
      <c r="AL18" s="225"/>
      <c r="AM18" s="213"/>
      <c r="AN18" s="213"/>
      <c r="AO18" s="213"/>
      <c r="AP18" s="213"/>
      <c r="AQ18" s="213"/>
      <c r="AR18" s="213"/>
      <c r="AS18" s="213"/>
      <c r="AT18" s="213"/>
      <c r="AU18" s="213"/>
    </row>
    <row r="19" spans="1:47" ht="21" hidden="1" thickBot="1">
      <c r="A19" s="345" t="s">
        <v>2072</v>
      </c>
      <c r="B19" s="329" t="s">
        <v>2072</v>
      </c>
      <c r="C19" s="329" t="s">
        <v>2072</v>
      </c>
      <c r="D19" s="329" t="s">
        <v>2072</v>
      </c>
      <c r="E19" s="330" t="s">
        <v>2072</v>
      </c>
      <c r="F19" s="329" t="s">
        <v>2072</v>
      </c>
      <c r="G19" s="329" t="s">
        <v>2072</v>
      </c>
      <c r="H19" s="329" t="s">
        <v>2072</v>
      </c>
      <c r="I19" s="329" t="s">
        <v>2072</v>
      </c>
      <c r="J19" s="329" t="s">
        <v>2072</v>
      </c>
      <c r="K19" s="329" t="s">
        <v>2072</v>
      </c>
      <c r="L19" s="329" t="s">
        <v>2072</v>
      </c>
      <c r="M19" s="329"/>
      <c r="N19" s="329" t="s">
        <v>2072</v>
      </c>
      <c r="O19" s="435" t="s">
        <v>2072</v>
      </c>
      <c r="P19" s="435" t="s">
        <v>2072</v>
      </c>
      <c r="Q19" s="435" t="s">
        <v>2072</v>
      </c>
      <c r="R19" s="435" t="s">
        <v>2072</v>
      </c>
      <c r="S19" s="329" t="s">
        <v>2072</v>
      </c>
      <c r="T19" s="329" t="s">
        <v>2072</v>
      </c>
      <c r="U19" s="329" t="s">
        <v>2072</v>
      </c>
      <c r="V19" s="329" t="s">
        <v>2072</v>
      </c>
      <c r="W19" s="329" t="s">
        <v>2072</v>
      </c>
      <c r="X19" s="329" t="s">
        <v>2072</v>
      </c>
      <c r="Y19" s="329" t="s">
        <v>2072</v>
      </c>
      <c r="Z19" s="329" t="s">
        <v>2072</v>
      </c>
      <c r="AA19" s="329" t="s">
        <v>2072</v>
      </c>
      <c r="AB19" s="329" t="s">
        <v>2072</v>
      </c>
      <c r="AC19" s="225"/>
      <c r="AD19" s="225"/>
      <c r="AE19" s="225"/>
      <c r="AF19" s="225"/>
      <c r="AG19" s="225"/>
      <c r="AH19" s="225"/>
      <c r="AI19" s="225"/>
      <c r="AJ19" s="225"/>
      <c r="AK19" s="225"/>
      <c r="AL19" s="225"/>
      <c r="AM19" s="213"/>
      <c r="AN19" s="213"/>
      <c r="AO19" s="213"/>
      <c r="AP19" s="213"/>
      <c r="AQ19" s="213"/>
      <c r="AR19" s="213"/>
      <c r="AS19" s="213"/>
      <c r="AT19" s="213"/>
      <c r="AU19" s="213"/>
    </row>
    <row r="20" spans="1:47" ht="21" hidden="1" thickBot="1">
      <c r="A20" s="345" t="s">
        <v>2072</v>
      </c>
      <c r="B20" s="329" t="s">
        <v>2072</v>
      </c>
      <c r="C20" s="329" t="s">
        <v>2072</v>
      </c>
      <c r="D20" s="329" t="s">
        <v>2072</v>
      </c>
      <c r="E20" s="330" t="s">
        <v>2072</v>
      </c>
      <c r="F20" s="329" t="s">
        <v>2072</v>
      </c>
      <c r="G20" s="329" t="s">
        <v>2072</v>
      </c>
      <c r="H20" s="329" t="s">
        <v>2072</v>
      </c>
      <c r="I20" s="329" t="s">
        <v>2072</v>
      </c>
      <c r="J20" s="329" t="s">
        <v>2072</v>
      </c>
      <c r="K20" s="329" t="s">
        <v>2072</v>
      </c>
      <c r="L20" s="329" t="s">
        <v>2072</v>
      </c>
      <c r="M20" s="329"/>
      <c r="N20" s="329" t="s">
        <v>2072</v>
      </c>
      <c r="O20" s="435" t="s">
        <v>2072</v>
      </c>
      <c r="P20" s="435" t="s">
        <v>2072</v>
      </c>
      <c r="Q20" s="435" t="s">
        <v>2072</v>
      </c>
      <c r="R20" s="435" t="s">
        <v>2072</v>
      </c>
      <c r="S20" s="329" t="s">
        <v>2072</v>
      </c>
      <c r="T20" s="329" t="s">
        <v>2072</v>
      </c>
      <c r="U20" s="329" t="s">
        <v>2072</v>
      </c>
      <c r="V20" s="329" t="s">
        <v>2072</v>
      </c>
      <c r="W20" s="329" t="s">
        <v>2072</v>
      </c>
      <c r="X20" s="329" t="s">
        <v>2072</v>
      </c>
      <c r="Y20" s="329" t="s">
        <v>2072</v>
      </c>
      <c r="Z20" s="329" t="s">
        <v>2072</v>
      </c>
      <c r="AA20" s="329" t="s">
        <v>2072</v>
      </c>
      <c r="AB20" s="329" t="s">
        <v>2072</v>
      </c>
      <c r="AC20" s="225"/>
      <c r="AD20" s="225"/>
      <c r="AE20" s="225"/>
      <c r="AF20" s="225"/>
      <c r="AG20" s="225"/>
      <c r="AH20" s="225"/>
      <c r="AI20" s="225"/>
      <c r="AJ20" s="225"/>
      <c r="AK20" s="225"/>
      <c r="AL20" s="225"/>
      <c r="AM20" s="213"/>
      <c r="AN20" s="213"/>
      <c r="AO20" s="213"/>
      <c r="AP20" s="213"/>
      <c r="AQ20" s="213"/>
      <c r="AR20" s="213"/>
      <c r="AS20" s="213"/>
      <c r="AT20" s="213"/>
      <c r="AU20" s="213"/>
    </row>
    <row r="21" spans="1:47" ht="21" hidden="1" thickBot="1">
      <c r="A21" s="345" t="s">
        <v>2072</v>
      </c>
      <c r="B21" s="329" t="s">
        <v>2072</v>
      </c>
      <c r="C21" s="329" t="s">
        <v>2072</v>
      </c>
      <c r="D21" s="329" t="s">
        <v>2072</v>
      </c>
      <c r="E21" s="330" t="s">
        <v>2072</v>
      </c>
      <c r="F21" s="329" t="s">
        <v>2072</v>
      </c>
      <c r="G21" s="329" t="s">
        <v>2072</v>
      </c>
      <c r="H21" s="329" t="s">
        <v>2072</v>
      </c>
      <c r="I21" s="329" t="s">
        <v>2072</v>
      </c>
      <c r="J21" s="329" t="s">
        <v>2072</v>
      </c>
      <c r="K21" s="329" t="s">
        <v>2072</v>
      </c>
      <c r="L21" s="329" t="s">
        <v>2072</v>
      </c>
      <c r="M21" s="329"/>
      <c r="N21" s="329" t="s">
        <v>2072</v>
      </c>
      <c r="O21" s="435" t="s">
        <v>2072</v>
      </c>
      <c r="P21" s="435" t="s">
        <v>2072</v>
      </c>
      <c r="Q21" s="435" t="s">
        <v>2072</v>
      </c>
      <c r="R21" s="435" t="s">
        <v>2072</v>
      </c>
      <c r="S21" s="329" t="s">
        <v>2072</v>
      </c>
      <c r="T21" s="329" t="s">
        <v>2072</v>
      </c>
      <c r="U21" s="329" t="s">
        <v>2072</v>
      </c>
      <c r="V21" s="329" t="s">
        <v>2072</v>
      </c>
      <c r="W21" s="329" t="s">
        <v>2072</v>
      </c>
      <c r="X21" s="329" t="s">
        <v>2072</v>
      </c>
      <c r="Y21" s="329" t="s">
        <v>2072</v>
      </c>
      <c r="Z21" s="329" t="s">
        <v>2072</v>
      </c>
      <c r="AA21" s="329" t="s">
        <v>2072</v>
      </c>
      <c r="AB21" s="329" t="s">
        <v>2072</v>
      </c>
      <c r="AC21" s="225"/>
      <c r="AD21" s="225"/>
      <c r="AE21" s="225"/>
      <c r="AF21" s="225"/>
      <c r="AG21" s="225"/>
      <c r="AH21" s="225"/>
      <c r="AI21" s="225"/>
      <c r="AJ21" s="225"/>
      <c r="AK21" s="225"/>
      <c r="AL21" s="225"/>
      <c r="AM21" s="213"/>
      <c r="AN21" s="213"/>
      <c r="AO21" s="213"/>
      <c r="AP21" s="213"/>
      <c r="AQ21" s="213"/>
      <c r="AR21" s="213"/>
      <c r="AS21" s="213"/>
      <c r="AT21" s="213"/>
      <c r="AU21" s="213"/>
    </row>
    <row r="22" spans="1:47" ht="21" hidden="1" thickBot="1">
      <c r="A22" s="345" t="s">
        <v>2072</v>
      </c>
      <c r="B22" s="329" t="s">
        <v>2072</v>
      </c>
      <c r="C22" s="329" t="s">
        <v>2072</v>
      </c>
      <c r="D22" s="329" t="s">
        <v>2072</v>
      </c>
      <c r="E22" s="330" t="s">
        <v>2072</v>
      </c>
      <c r="F22" s="329" t="s">
        <v>2072</v>
      </c>
      <c r="G22" s="329" t="s">
        <v>2072</v>
      </c>
      <c r="H22" s="329" t="s">
        <v>2072</v>
      </c>
      <c r="I22" s="329" t="s">
        <v>2072</v>
      </c>
      <c r="J22" s="329" t="s">
        <v>2072</v>
      </c>
      <c r="K22" s="329" t="s">
        <v>2072</v>
      </c>
      <c r="L22" s="329" t="s">
        <v>2072</v>
      </c>
      <c r="M22" s="329"/>
      <c r="N22" s="329" t="s">
        <v>2072</v>
      </c>
      <c r="O22" s="435" t="s">
        <v>2072</v>
      </c>
      <c r="P22" s="435" t="s">
        <v>2072</v>
      </c>
      <c r="Q22" s="435" t="s">
        <v>2072</v>
      </c>
      <c r="R22" s="435" t="s">
        <v>2072</v>
      </c>
      <c r="S22" s="329" t="s">
        <v>2072</v>
      </c>
      <c r="T22" s="329" t="s">
        <v>2072</v>
      </c>
      <c r="U22" s="329" t="s">
        <v>2072</v>
      </c>
      <c r="V22" s="329" t="s">
        <v>2072</v>
      </c>
      <c r="W22" s="329" t="s">
        <v>2072</v>
      </c>
      <c r="X22" s="329" t="s">
        <v>2072</v>
      </c>
      <c r="Y22" s="329" t="s">
        <v>2072</v>
      </c>
      <c r="Z22" s="329" t="s">
        <v>2072</v>
      </c>
      <c r="AA22" s="329" t="s">
        <v>2072</v>
      </c>
      <c r="AB22" s="329" t="s">
        <v>2072</v>
      </c>
      <c r="AC22" s="225"/>
      <c r="AD22" s="225"/>
      <c r="AE22" s="225"/>
      <c r="AF22" s="225"/>
      <c r="AG22" s="225"/>
      <c r="AH22" s="225"/>
      <c r="AI22" s="225"/>
      <c r="AJ22" s="225"/>
      <c r="AK22" s="225"/>
      <c r="AL22" s="225"/>
      <c r="AM22" s="213"/>
      <c r="AN22" s="213"/>
      <c r="AO22" s="213"/>
      <c r="AP22" s="213"/>
      <c r="AQ22" s="213"/>
      <c r="AR22" s="213"/>
      <c r="AS22" s="213"/>
      <c r="AT22" s="213"/>
      <c r="AU22" s="213"/>
    </row>
    <row r="23" spans="1:47" hidden="1">
      <c r="A23" s="345" t="s">
        <v>2072</v>
      </c>
      <c r="B23" s="329" t="s">
        <v>2072</v>
      </c>
      <c r="C23" s="329" t="s">
        <v>2072</v>
      </c>
      <c r="D23" s="329" t="s">
        <v>2072</v>
      </c>
      <c r="E23" s="329" t="s">
        <v>2072</v>
      </c>
      <c r="F23" s="329" t="s">
        <v>2072</v>
      </c>
      <c r="G23" s="329" t="s">
        <v>2072</v>
      </c>
      <c r="H23" s="329" t="s">
        <v>2072</v>
      </c>
      <c r="I23" s="329" t="s">
        <v>2072</v>
      </c>
      <c r="J23" s="329" t="s">
        <v>2072</v>
      </c>
      <c r="K23" s="329" t="s">
        <v>2072</v>
      </c>
      <c r="L23" s="329" t="s">
        <v>2072</v>
      </c>
      <c r="M23" s="329"/>
      <c r="N23" s="329" t="s">
        <v>2072</v>
      </c>
      <c r="O23" s="435" t="s">
        <v>2072</v>
      </c>
      <c r="P23" s="435" t="s">
        <v>2072</v>
      </c>
      <c r="Q23" s="435" t="s">
        <v>2072</v>
      </c>
      <c r="R23" s="435" t="s">
        <v>2072</v>
      </c>
      <c r="S23" s="329" t="s">
        <v>2072</v>
      </c>
      <c r="T23" s="329" t="s">
        <v>2072</v>
      </c>
      <c r="U23" s="329" t="s">
        <v>2072</v>
      </c>
      <c r="V23" s="329" t="s">
        <v>2072</v>
      </c>
      <c r="W23" s="329" t="s">
        <v>2072</v>
      </c>
      <c r="X23" s="329" t="s">
        <v>2072</v>
      </c>
      <c r="Y23" s="329" t="s">
        <v>2072</v>
      </c>
      <c r="Z23" s="329" t="s">
        <v>2072</v>
      </c>
      <c r="AA23" s="329" t="s">
        <v>2072</v>
      </c>
      <c r="AB23" s="329" t="s">
        <v>2072</v>
      </c>
      <c r="AC23" s="225"/>
      <c r="AD23" s="225"/>
      <c r="AE23" s="225"/>
      <c r="AF23" s="225"/>
      <c r="AG23" s="225"/>
      <c r="AH23" s="225"/>
      <c r="AI23" s="225"/>
      <c r="AJ23" s="225"/>
      <c r="AK23" s="225"/>
      <c r="AL23" s="225"/>
      <c r="AM23" s="213"/>
      <c r="AN23" s="213"/>
      <c r="AO23" s="213"/>
      <c r="AP23" s="213"/>
      <c r="AQ23" s="213"/>
      <c r="AR23" s="213"/>
      <c r="AS23" s="213"/>
      <c r="AT23" s="213"/>
      <c r="AU23" s="213"/>
    </row>
    <row r="24" spans="1:47">
      <c r="A24" s="346" t="s">
        <v>2073</v>
      </c>
      <c r="B24" s="331"/>
      <c r="C24" s="331"/>
      <c r="D24" s="331"/>
      <c r="E24" s="332" t="s">
        <v>2072</v>
      </c>
      <c r="F24" s="329" t="s">
        <v>2072</v>
      </c>
      <c r="G24" s="329" t="s">
        <v>2072</v>
      </c>
      <c r="H24" s="329" t="s">
        <v>2072</v>
      </c>
      <c r="I24" s="329" t="s">
        <v>2072</v>
      </c>
      <c r="J24" s="329" t="s">
        <v>2072</v>
      </c>
      <c r="K24" s="329" t="s">
        <v>2072</v>
      </c>
      <c r="L24" s="329" t="s">
        <v>2072</v>
      </c>
      <c r="M24" s="329"/>
      <c r="N24" s="329" t="s">
        <v>2072</v>
      </c>
      <c r="O24" s="435" t="s">
        <v>2072</v>
      </c>
      <c r="P24" s="435" t="s">
        <v>2072</v>
      </c>
      <c r="Q24" s="435" t="s">
        <v>2072</v>
      </c>
      <c r="R24" s="435" t="s">
        <v>2072</v>
      </c>
      <c r="S24" s="329" t="s">
        <v>2072</v>
      </c>
      <c r="T24" s="329" t="s">
        <v>2072</v>
      </c>
      <c r="U24" s="329" t="s">
        <v>2072</v>
      </c>
      <c r="V24" s="329" t="s">
        <v>2072</v>
      </c>
      <c r="W24" s="329" t="s">
        <v>2072</v>
      </c>
      <c r="X24" s="329" t="s">
        <v>2072</v>
      </c>
      <c r="Y24" s="329" t="s">
        <v>2072</v>
      </c>
      <c r="Z24" s="329" t="s">
        <v>2072</v>
      </c>
      <c r="AA24" s="329" t="s">
        <v>2072</v>
      </c>
      <c r="AB24" s="329" t="s">
        <v>2072</v>
      </c>
      <c r="AC24" s="225"/>
      <c r="AD24" s="225"/>
      <c r="AE24" s="225"/>
      <c r="AF24" s="225"/>
      <c r="AG24" s="225"/>
      <c r="AH24" s="225"/>
      <c r="AI24" s="225"/>
      <c r="AJ24" s="225"/>
      <c r="AK24" s="225"/>
      <c r="AL24" s="225"/>
      <c r="AM24" s="213"/>
      <c r="AN24" s="213"/>
      <c r="AO24" s="213"/>
      <c r="AP24" s="213"/>
      <c r="AQ24" s="213"/>
      <c r="AR24" s="213"/>
      <c r="AS24" s="213"/>
      <c r="AT24" s="213"/>
      <c r="AU24" s="213"/>
    </row>
    <row r="25" spans="1:47" ht="16.5" customHeight="1">
      <c r="A25" s="347" t="str">
        <f>Inputs!E10</f>
        <v>Dr. John Carter</v>
      </c>
      <c r="B25" s="333"/>
      <c r="C25" s="333"/>
      <c r="D25" s="333"/>
      <c r="E25" s="334" t="s">
        <v>2072</v>
      </c>
      <c r="F25" s="329" t="s">
        <v>2072</v>
      </c>
      <c r="G25" s="329" t="s">
        <v>2072</v>
      </c>
      <c r="H25" s="329" t="s">
        <v>2072</v>
      </c>
      <c r="I25" s="329" t="s">
        <v>2072</v>
      </c>
      <c r="J25" s="329" t="s">
        <v>2072</v>
      </c>
      <c r="K25" s="329" t="s">
        <v>2072</v>
      </c>
      <c r="L25" s="329" t="s">
        <v>2072</v>
      </c>
      <c r="M25" s="329"/>
      <c r="N25" s="329" t="s">
        <v>2072</v>
      </c>
      <c r="O25" s="435" t="s">
        <v>2072</v>
      </c>
      <c r="P25" s="435" t="s">
        <v>2072</v>
      </c>
      <c r="Q25" s="435" t="s">
        <v>2072</v>
      </c>
      <c r="R25" s="435" t="s">
        <v>2072</v>
      </c>
      <c r="S25" s="329" t="s">
        <v>2072</v>
      </c>
      <c r="T25" s="329" t="s">
        <v>2072</v>
      </c>
      <c r="U25" s="329" t="s">
        <v>2072</v>
      </c>
      <c r="V25" s="329" t="s">
        <v>2072</v>
      </c>
      <c r="W25" s="329" t="s">
        <v>2072</v>
      </c>
      <c r="X25" s="329" t="s">
        <v>2072</v>
      </c>
      <c r="Y25" s="329" t="s">
        <v>2072</v>
      </c>
      <c r="Z25" s="329" t="s">
        <v>2072</v>
      </c>
      <c r="AA25" s="329" t="s">
        <v>2072</v>
      </c>
      <c r="AB25" s="329" t="s">
        <v>2072</v>
      </c>
      <c r="AC25" s="225"/>
      <c r="AD25" s="225"/>
      <c r="AE25" s="225"/>
      <c r="AF25" s="225"/>
      <c r="AG25" s="225"/>
      <c r="AH25" s="225"/>
      <c r="AI25" s="225"/>
      <c r="AJ25" s="225"/>
      <c r="AK25" s="225"/>
      <c r="AL25" s="225"/>
    </row>
    <row r="26" spans="1:47" ht="18.75" customHeight="1">
      <c r="A26" s="348" t="str">
        <f>Inputs!E11</f>
        <v>Proposal for a 3 Dentist Operatory in Montgomery, Alabama</v>
      </c>
      <c r="B26" s="335"/>
      <c r="C26" s="335"/>
      <c r="D26" s="335"/>
      <c r="E26" s="334" t="s">
        <v>2091</v>
      </c>
      <c r="F26" s="336"/>
      <c r="G26" s="336"/>
      <c r="H26" s="336"/>
      <c r="I26" s="336"/>
      <c r="J26" s="336"/>
      <c r="K26" s="336"/>
      <c r="L26" s="336"/>
      <c r="M26" s="336"/>
      <c r="N26" s="491"/>
      <c r="O26" s="435" t="s">
        <v>2072</v>
      </c>
      <c r="P26" s="435" t="s">
        <v>2072</v>
      </c>
      <c r="Q26" s="435" t="s">
        <v>2072</v>
      </c>
      <c r="R26" s="435" t="s">
        <v>2072</v>
      </c>
      <c r="S26" s="329" t="s">
        <v>2072</v>
      </c>
      <c r="T26" s="329" t="s">
        <v>2072</v>
      </c>
      <c r="U26" s="329" t="s">
        <v>2072</v>
      </c>
      <c r="V26" s="329" t="s">
        <v>2072</v>
      </c>
      <c r="W26" s="329" t="s">
        <v>2072</v>
      </c>
      <c r="X26" s="329" t="s">
        <v>2072</v>
      </c>
      <c r="Y26" s="329" t="s">
        <v>2072</v>
      </c>
      <c r="Z26" s="329" t="s">
        <v>2072</v>
      </c>
      <c r="AA26" s="329" t="s">
        <v>2072</v>
      </c>
      <c r="AB26" s="329" t="s">
        <v>2072</v>
      </c>
      <c r="AC26" s="225"/>
      <c r="AD26" s="225"/>
      <c r="AE26" s="225"/>
      <c r="AF26" s="225"/>
      <c r="AG26" s="225"/>
      <c r="AH26" s="225"/>
      <c r="AI26" s="225"/>
      <c r="AJ26" s="225"/>
      <c r="AK26" s="225"/>
      <c r="AL26" s="225"/>
    </row>
    <row r="27" spans="1:47" s="488" customFormat="1" ht="18.75" customHeight="1">
      <c r="A27" s="349" t="str">
        <f>"-"&amp;Inputs!E7&amp;", "&amp;Inputs!E9</f>
        <v>-Tri-State, Taylor Swift</v>
      </c>
      <c r="B27" s="335"/>
      <c r="C27" s="335"/>
      <c r="D27" s="335"/>
      <c r="E27" s="334" t="s">
        <v>2091</v>
      </c>
      <c r="F27" s="336"/>
      <c r="G27" s="336"/>
      <c r="H27" s="336"/>
      <c r="I27" s="336"/>
      <c r="J27" s="336"/>
      <c r="K27" s="336"/>
      <c r="L27" s="336"/>
      <c r="M27" s="336"/>
      <c r="N27" s="491"/>
      <c r="O27" s="435" t="s">
        <v>2072</v>
      </c>
      <c r="P27" s="435" t="s">
        <v>2072</v>
      </c>
      <c r="Q27" s="435" t="s">
        <v>2072</v>
      </c>
      <c r="R27" s="435" t="s">
        <v>2072</v>
      </c>
      <c r="S27" s="329" t="s">
        <v>2072</v>
      </c>
      <c r="T27" s="329" t="s">
        <v>2072</v>
      </c>
      <c r="U27" s="329" t="s">
        <v>2072</v>
      </c>
      <c r="V27" s="329" t="s">
        <v>2072</v>
      </c>
      <c r="W27" s="329" t="s">
        <v>2072</v>
      </c>
      <c r="X27" s="329" t="s">
        <v>2072</v>
      </c>
      <c r="Y27" s="329" t="s">
        <v>2072</v>
      </c>
      <c r="Z27" s="329" t="s">
        <v>2072</v>
      </c>
      <c r="AA27" s="329" t="s">
        <v>2072</v>
      </c>
      <c r="AB27" s="329" t="s">
        <v>2072</v>
      </c>
      <c r="AC27" s="225"/>
      <c r="AD27" s="225"/>
      <c r="AE27" s="225"/>
      <c r="AF27" s="225"/>
      <c r="AG27" s="225"/>
      <c r="AH27" s="225"/>
      <c r="AI27" s="225"/>
      <c r="AJ27" s="225"/>
      <c r="AK27" s="225"/>
      <c r="AL27" s="225"/>
      <c r="AM27" s="215"/>
      <c r="AN27" s="215"/>
      <c r="AO27" s="215"/>
      <c r="AP27" s="215"/>
      <c r="AQ27" s="215"/>
      <c r="AR27" s="215"/>
      <c r="AS27" s="215"/>
      <c r="AT27" s="215"/>
      <c r="AU27" s="215"/>
    </row>
    <row r="28" spans="1:47">
      <c r="A28" s="349" t="str">
        <f>"-"&amp;"Belmont Equipment, "&amp;Inputs!E6</f>
        <v>-Belmont Equipment, Vin Raia</v>
      </c>
      <c r="B28" s="337"/>
      <c r="C28" s="337"/>
      <c r="D28" s="337"/>
      <c r="E28" s="334" t="s">
        <v>2091</v>
      </c>
      <c r="F28" s="329" t="s">
        <v>2072</v>
      </c>
      <c r="G28" s="329" t="s">
        <v>2072</v>
      </c>
      <c r="H28" s="329" t="s">
        <v>2072</v>
      </c>
      <c r="I28" s="329" t="s">
        <v>2072</v>
      </c>
      <c r="J28" s="329" t="s">
        <v>2072</v>
      </c>
      <c r="K28" s="329" t="s">
        <v>2072</v>
      </c>
      <c r="L28" s="329" t="s">
        <v>2072</v>
      </c>
      <c r="M28" s="329"/>
      <c r="N28" s="329" t="s">
        <v>2072</v>
      </c>
      <c r="O28" s="435" t="s">
        <v>2072</v>
      </c>
      <c r="P28" s="435" t="s">
        <v>2072</v>
      </c>
      <c r="Q28" s="435" t="s">
        <v>2072</v>
      </c>
      <c r="R28" s="435" t="s">
        <v>2072</v>
      </c>
      <c r="S28" s="329" t="s">
        <v>2072</v>
      </c>
      <c r="T28" s="329" t="s">
        <v>2072</v>
      </c>
      <c r="U28" s="329" t="s">
        <v>2072</v>
      </c>
      <c r="V28" s="329" t="s">
        <v>2072</v>
      </c>
      <c r="W28" s="329" t="s">
        <v>2072</v>
      </c>
      <c r="X28" s="329" t="s">
        <v>2072</v>
      </c>
      <c r="Y28" s="329" t="s">
        <v>2072</v>
      </c>
      <c r="Z28" s="329" t="s">
        <v>2072</v>
      </c>
      <c r="AA28" s="329" t="s">
        <v>2072</v>
      </c>
      <c r="AB28" s="329" t="s">
        <v>2072</v>
      </c>
      <c r="AC28" s="225"/>
      <c r="AD28" s="225"/>
      <c r="AE28" s="225"/>
      <c r="AF28" s="225"/>
      <c r="AG28" s="225"/>
      <c r="AH28" s="225"/>
      <c r="AI28" s="225"/>
      <c r="AJ28" s="225"/>
      <c r="AK28" s="225"/>
      <c r="AL28" s="225"/>
    </row>
    <row r="29" spans="1:47" ht="63.75" thickBot="1">
      <c r="A29" s="329" t="s">
        <v>2072</v>
      </c>
      <c r="B29" s="329" t="s">
        <v>2072</v>
      </c>
      <c r="C29" s="329" t="s">
        <v>2072</v>
      </c>
      <c r="D29" s="329" t="s">
        <v>2072</v>
      </c>
      <c r="E29" s="334" t="s">
        <v>2072</v>
      </c>
      <c r="F29" s="329" t="s">
        <v>2072</v>
      </c>
      <c r="G29" s="329" t="s">
        <v>2072</v>
      </c>
      <c r="H29" s="329" t="s">
        <v>2072</v>
      </c>
      <c r="I29" s="329" t="s">
        <v>2072</v>
      </c>
      <c r="J29" s="329" t="s">
        <v>2072</v>
      </c>
      <c r="K29" s="329" t="s">
        <v>2072</v>
      </c>
      <c r="L29" s="329" t="s">
        <v>2072</v>
      </c>
      <c r="M29" s="329"/>
      <c r="N29" s="329" t="s">
        <v>2072</v>
      </c>
      <c r="O29" s="521" t="s">
        <v>2345</v>
      </c>
      <c r="P29" s="435" t="s">
        <v>2072</v>
      </c>
      <c r="Q29" s="435" t="s">
        <v>2072</v>
      </c>
      <c r="R29" s="435" t="s">
        <v>2072</v>
      </c>
      <c r="S29" s="329" t="s">
        <v>2072</v>
      </c>
      <c r="T29" s="329" t="s">
        <v>2072</v>
      </c>
      <c r="U29" s="329" t="s">
        <v>2072</v>
      </c>
      <c r="V29" s="329" t="s">
        <v>2072</v>
      </c>
      <c r="W29" s="329" t="s">
        <v>2072</v>
      </c>
      <c r="X29" s="329" t="s">
        <v>2072</v>
      </c>
      <c r="Y29" s="329" t="s">
        <v>2072</v>
      </c>
      <c r="Z29" s="329" t="s">
        <v>2072</v>
      </c>
      <c r="AA29" s="329" t="s">
        <v>2072</v>
      </c>
      <c r="AB29" s="329" t="s">
        <v>2072</v>
      </c>
      <c r="AC29" s="225"/>
      <c r="AD29" s="225"/>
      <c r="AE29" s="225"/>
      <c r="AF29" s="225"/>
      <c r="AG29" s="225"/>
      <c r="AH29" s="225"/>
      <c r="AI29" s="225"/>
      <c r="AJ29" s="225"/>
      <c r="AK29" s="225"/>
      <c r="AL29" s="225"/>
    </row>
    <row r="30" spans="1:47" ht="69" customHeight="1" thickBot="1">
      <c r="A30" s="338"/>
      <c r="B30" s="339" t="str">
        <f>W28</f>
        <v>Occupied Cell</v>
      </c>
      <c r="C30" s="497"/>
      <c r="D30" s="329" t="s">
        <v>2072</v>
      </c>
      <c r="E30" s="498" t="s">
        <v>2072</v>
      </c>
      <c r="F30" s="329" t="s">
        <v>2072</v>
      </c>
      <c r="G30" s="329" t="s">
        <v>2072</v>
      </c>
      <c r="H30" s="329" t="s">
        <v>2072</v>
      </c>
      <c r="I30" s="329" t="s">
        <v>2072</v>
      </c>
      <c r="J30" s="329" t="s">
        <v>2072</v>
      </c>
      <c r="K30" s="329" t="s">
        <v>2072</v>
      </c>
      <c r="L30" s="340" t="s">
        <v>2072</v>
      </c>
      <c r="M30" s="340"/>
      <c r="N30" s="329" t="s">
        <v>2072</v>
      </c>
      <c r="O30" s="350" t="s">
        <v>2346</v>
      </c>
      <c r="P30" s="435" t="s">
        <v>2072</v>
      </c>
      <c r="Q30" s="435" t="b">
        <f>OR( IFERROR(FIND("Chairs",B33),0) &gt; 0, IFERROR(FIND("Stools",B33),0),IFERROR(FIND("Cabinet",B33),0) &gt; 0 )</f>
        <v>0</v>
      </c>
      <c r="R30" s="435" t="s">
        <v>2072</v>
      </c>
      <c r="S30" s="329" t="s">
        <v>2072</v>
      </c>
      <c r="T30" s="329" t="s">
        <v>2072</v>
      </c>
      <c r="U30" s="329" t="s">
        <v>2072</v>
      </c>
      <c r="V30" s="329" t="s">
        <v>2072</v>
      </c>
      <c r="W30" s="329" t="s">
        <v>2072</v>
      </c>
      <c r="X30" s="329" t="s">
        <v>2072</v>
      </c>
      <c r="Y30" s="329" t="s">
        <v>2072</v>
      </c>
      <c r="Z30" s="329" t="s">
        <v>2072</v>
      </c>
      <c r="AA30" s="329" t="s">
        <v>2072</v>
      </c>
      <c r="AB30" s="329" t="s">
        <v>2072</v>
      </c>
      <c r="AC30" s="225"/>
      <c r="AD30" s="225"/>
      <c r="AE30" s="225"/>
      <c r="AF30" s="225"/>
      <c r="AG30" s="225"/>
      <c r="AH30" s="225"/>
      <c r="AI30" s="225"/>
      <c r="AJ30" s="225"/>
      <c r="AK30" s="225"/>
      <c r="AL30" s="225"/>
    </row>
    <row r="31" spans="1:47" ht="30.75" customHeight="1" thickTop="1" thickBot="1">
      <c r="A31" s="341"/>
      <c r="B31" s="342"/>
      <c r="C31" s="555" t="s">
        <v>1</v>
      </c>
      <c r="D31" s="556"/>
      <c r="E31" s="343" t="s">
        <v>2072</v>
      </c>
      <c r="F31" s="329" t="s">
        <v>2072</v>
      </c>
      <c r="G31" s="552" t="s">
        <v>2486</v>
      </c>
      <c r="H31" s="553"/>
      <c r="I31" s="553"/>
      <c r="J31" s="553"/>
      <c r="K31" s="553"/>
      <c r="L31" s="553"/>
      <c r="M31" s="553"/>
      <c r="N31" s="554"/>
      <c r="O31" s="435" t="s">
        <v>2072</v>
      </c>
      <c r="P31" s="435" t="s">
        <v>2072</v>
      </c>
      <c r="Q31" s="435" t="s">
        <v>2072</v>
      </c>
      <c r="R31" s="435" t="s">
        <v>2072</v>
      </c>
      <c r="S31" s="329" t="s">
        <v>2072</v>
      </c>
      <c r="T31" s="329" t="s">
        <v>2072</v>
      </c>
      <c r="U31" s="329" t="s">
        <v>2072</v>
      </c>
      <c r="V31" s="329" t="s">
        <v>2072</v>
      </c>
      <c r="W31" s="329" t="s">
        <v>2072</v>
      </c>
      <c r="X31" s="329" t="s">
        <v>2072</v>
      </c>
      <c r="Y31" s="329" t="s">
        <v>2072</v>
      </c>
      <c r="Z31" s="329" t="s">
        <v>2072</v>
      </c>
      <c r="AA31" s="329" t="s">
        <v>2072</v>
      </c>
      <c r="AB31" s="329" t="s">
        <v>2072</v>
      </c>
      <c r="AC31" s="225"/>
      <c r="AD31" s="225"/>
      <c r="AE31" s="225"/>
      <c r="AF31" s="225"/>
      <c r="AG31" s="225"/>
      <c r="AH31" s="225"/>
      <c r="AI31" s="225"/>
      <c r="AJ31" s="225"/>
      <c r="AK31" s="225"/>
      <c r="AL31" s="225"/>
    </row>
    <row r="32" spans="1:47" s="489" customFormat="1" ht="86.25" customHeight="1" thickBot="1">
      <c r="A32" s="216"/>
      <c r="B32" s="217" t="s">
        <v>1649</v>
      </c>
      <c r="C32" s="218">
        <v>1</v>
      </c>
      <c r="D32" s="218">
        <v>2</v>
      </c>
      <c r="E32" s="219" t="s">
        <v>1498</v>
      </c>
      <c r="F32" s="219" t="s">
        <v>1488</v>
      </c>
      <c r="G32" s="218" t="s">
        <v>1622</v>
      </c>
      <c r="H32" s="218" t="s">
        <v>2066</v>
      </c>
      <c r="I32" s="218" t="s">
        <v>2051</v>
      </c>
      <c r="J32" s="218" t="s">
        <v>2054</v>
      </c>
      <c r="K32" s="218" t="s">
        <v>2347</v>
      </c>
      <c r="L32" s="218" t="s">
        <v>2070</v>
      </c>
      <c r="M32" s="218" t="s">
        <v>2360</v>
      </c>
      <c r="N32" s="218" t="s">
        <v>2</v>
      </c>
      <c r="O32" s="219" t="s">
        <v>2056</v>
      </c>
      <c r="P32" s="219" t="s">
        <v>1595</v>
      </c>
      <c r="Q32" s="219" t="s">
        <v>1630</v>
      </c>
      <c r="R32" s="219" t="s">
        <v>1631</v>
      </c>
      <c r="S32" s="219" t="s">
        <v>0</v>
      </c>
      <c r="T32" s="220" t="s">
        <v>1492</v>
      </c>
      <c r="U32" s="220" t="s">
        <v>1664</v>
      </c>
      <c r="V32" s="220"/>
      <c r="W32" s="219" t="s">
        <v>1491</v>
      </c>
      <c r="X32" s="220" t="s">
        <v>3</v>
      </c>
      <c r="Y32" s="219" t="s">
        <v>4</v>
      </c>
      <c r="Z32" s="221" t="s">
        <v>5</v>
      </c>
      <c r="AA32" s="222" t="s">
        <v>6</v>
      </c>
      <c r="AB32" s="222" t="s">
        <v>8</v>
      </c>
      <c r="AC32" s="242"/>
      <c r="AD32" s="242"/>
      <c r="AE32" s="242"/>
      <c r="AF32" s="242"/>
      <c r="AG32" s="242"/>
      <c r="AH32" s="242"/>
      <c r="AI32" s="242"/>
      <c r="AJ32" s="242"/>
      <c r="AK32" s="242"/>
      <c r="AL32" s="242"/>
      <c r="AM32" s="242"/>
      <c r="AN32" s="242"/>
      <c r="AO32" s="242"/>
      <c r="AP32" s="242"/>
      <c r="AQ32" s="242"/>
      <c r="AR32" s="242"/>
      <c r="AS32" s="242"/>
      <c r="AT32" s="242"/>
      <c r="AU32" s="242"/>
    </row>
    <row r="33" spans="1:47" s="490" customFormat="1" ht="96.75" customHeight="1">
      <c r="A33" s="235" t="b">
        <v>0</v>
      </c>
      <c r="B33" s="234">
        <v>1</v>
      </c>
      <c r="C33" s="240">
        <f>Inputs!$E$27</f>
        <v>0.5</v>
      </c>
      <c r="D33" s="206" t="str">
        <f>IF(E33="Parts",40%,"")</f>
        <v/>
      </c>
      <c r="E33" s="207" t="s">
        <v>1506</v>
      </c>
      <c r="F33" s="208" t="s">
        <v>72</v>
      </c>
      <c r="G33" s="208"/>
      <c r="H33" s="350"/>
      <c r="I33" s="350"/>
      <c r="J33" s="208"/>
      <c r="K33" s="208" t="s">
        <v>658</v>
      </c>
      <c r="L33" s="208"/>
      <c r="M33" s="350"/>
      <c r="N33" s="208">
        <v>1</v>
      </c>
      <c r="O33" s="493" t="str">
        <f>IF(ISERROR(VLOOKUP(K33,'Lists of Products and Options'!A:C,2,FALSE)),"",VLOOKUP(K33,'Lists of Products and Options'!A:C,2,FALSE))</f>
        <v>Additional HP holder (active) with 4-hole straight asepsis tubing and Midwest style connector. Note 4 active holders maximum per unit. 5000 chair.</v>
      </c>
      <c r="P33" s="433">
        <f>IF(ISERROR(VLOOKUP(K33,'Lists of Products and Options'!A:C,3,FALSE)),"",VLOOKUP(K33,'Lists of Products and Options'!A:C,3,FALSE))</f>
        <v>273</v>
      </c>
      <c r="Q33" s="434" t="str">
        <f>IF(ISERROR(VLOOKUP(G33,LoCS!R:T,3,FALSE)),"",VLOOKUP(G33,LoCS!R:T,3,FALSE))</f>
        <v/>
      </c>
      <c r="R33" s="434" t="str">
        <f>IF(ISERROR(IF(I33="NonStandard",VLOOKUP(E33&amp;H33&amp;I33,LoCS!G25:H32,2,FALSE),VLOOKUP(E33&amp;H33,LoCS!G25:H32,2,FALSE))),"",IF(I33="NonStandard",VLOOKUP(E33&amp;H33&amp;I33,LoCS!G25:H32,2,FALSE),VLOOKUP(E33&amp;H33,LoCS!G25:H32,2,FALSE)))</f>
        <v/>
      </c>
      <c r="S33" s="494" t="str">
        <f>IF(ISERROR(VLOOKUP(F33,'2013 Belmont Retail Pricing'!A:B,2,FALSE)),"",VLOOKUP(F33,'2013 Belmont Retail Pricing'!A:B,2,FALSE))</f>
        <v>Delivery System, Swing-Mounted Dr. Cntl. With Monitor Arm , L/R Cuspidor &amp; J-Box</v>
      </c>
      <c r="T33" s="226">
        <f>IF(ISERROR(VLOOKUP(Config!F33,'2013 Belmont Retail Pricing'!A:C,3,FALSE)),"",VLOOKUP(Config!F33,'2013 Belmont Retail Pricing'!A:C,3,FALSE))</f>
        <v>14899</v>
      </c>
      <c r="U33" s="226">
        <f t="shared" ref="U33:U48" si="0">SUM(IF(ISERROR(Q33),0,Q33),IF(ISERROR(R33),0,R33),IF(ISERROR(P33),0,P33),IF(ISERROR(T33),0,T33))</f>
        <v>15172</v>
      </c>
      <c r="V33" s="226"/>
      <c r="W33" s="226">
        <f>IF(E33="Parts",IF(ISERROR((U33*(1-D33))),"",(U33*(1-D33))),IF(ISERROR((U33*(1-C33))),"",(U33*(1-C33))))</f>
        <v>7586</v>
      </c>
      <c r="X33" s="226">
        <f>W33/(1-Y33)</f>
        <v>11155.882352941178</v>
      </c>
      <c r="Y33" s="227">
        <v>0.32</v>
      </c>
      <c r="Z33" s="228">
        <f>(T33-X33)/T33</f>
        <v>0.2512328107295001</v>
      </c>
      <c r="AA33" s="229">
        <f t="shared" ref="AA33:AA48" si="1">IF(ISERROR(W33*N33),"",W33*N33)</f>
        <v>7586</v>
      </c>
      <c r="AB33" s="229">
        <f>X33*N33</f>
        <v>11155.882352941178</v>
      </c>
      <c r="AC33" s="243"/>
      <c r="AD33" s="243"/>
      <c r="AE33" s="243"/>
      <c r="AF33" s="243"/>
      <c r="AG33" s="243" t="str">
        <f ca="1">IF(ISERROR(SEARCH("Hausys",O33)),IF(ISERROR(SEARCH("Cambria",O33)),"",INDIRECT("Cambria")),INDIRECT("Hausys"))</f>
        <v/>
      </c>
      <c r="AH33" s="243"/>
      <c r="AI33" s="243"/>
      <c r="AJ33" s="243"/>
      <c r="AK33" s="243"/>
      <c r="AL33" s="243"/>
      <c r="AM33" s="243"/>
      <c r="AN33" s="243"/>
      <c r="AO33" s="243"/>
      <c r="AP33" s="243"/>
      <c r="AQ33" s="243"/>
      <c r="AR33" s="243"/>
      <c r="AS33" s="243"/>
      <c r="AT33" s="243"/>
      <c r="AU33" s="243"/>
    </row>
    <row r="34" spans="1:47" s="490" customFormat="1" ht="97.5" customHeight="1">
      <c r="A34" s="236" t="b">
        <v>0</v>
      </c>
      <c r="B34" s="237">
        <v>2</v>
      </c>
      <c r="C34" s="240">
        <f>Inputs!$E$27</f>
        <v>0.5</v>
      </c>
      <c r="D34" s="206" t="str">
        <f>IF(E34="Parts",40%,"")</f>
        <v/>
      </c>
      <c r="E34" s="207" t="s">
        <v>1503</v>
      </c>
      <c r="F34" s="208" t="s">
        <v>16</v>
      </c>
      <c r="G34" s="208" t="s">
        <v>1585</v>
      </c>
      <c r="H34" s="350" t="s">
        <v>1566</v>
      </c>
      <c r="I34" s="350" t="s">
        <v>1550</v>
      </c>
      <c r="J34" s="208"/>
      <c r="K34" s="208" t="s">
        <v>656</v>
      </c>
      <c r="L34" s="208"/>
      <c r="M34" s="350"/>
      <c r="N34" s="208">
        <v>1</v>
      </c>
      <c r="O34" s="493" t="str">
        <f>IF(ISERROR(VLOOKUP(K34,'Lists of Products and Options'!A:C,2,FALSE)),"",VLOOKUP(K34,'Lists of Products and Options'!A:C,2,FALSE))</f>
        <v>Foot Control</v>
      </c>
      <c r="P34" s="433">
        <f>IF(ISERROR(VLOOKUP(K34,'Lists of Products and Options'!A:C,3,FALSE)),"",VLOOKUP(K34,'Lists of Products and Options'!A:C,3,FALSE))</f>
        <v>541</v>
      </c>
      <c r="Q34" s="433">
        <f>IF(ISERROR(VLOOKUP(G34,LoCS!R:T,3,FALSE)),"",VLOOKUP(G34,LoCS!R:T,3,FALSE))</f>
        <v>412</v>
      </c>
      <c r="R34" s="433">
        <f>IF(ISERROR(IF(I34="NonStandard",VLOOKUP(E34&amp;H34&amp;I34,LoCS!G26:H33,2,FALSE),VLOOKUP(E34&amp;H34,LoCS!G26:H33,2,FALSE))),"",IF(I34="NonStandard",VLOOKUP(E34&amp;H34&amp;I34,LoCS!G26:H33,2,FALSE),VLOOKUP(E34&amp;H34,LoCS!G26:H33,2,FALSE)))</f>
        <v>598</v>
      </c>
      <c r="S34" s="495" t="str">
        <f>IF(ISERROR(VLOOKUP(F34,'2013 Belmont Retail Pricing'!A:B,2,FALSE)),"",VLOOKUP(F34,'2013 Belmont Retail Pricing'!A:B,2,FALSE))</f>
        <v>Chair, Quolis™ , (QSS &amp; QSW styles W/ Ultraleather™ Upholstery, Std. Colors)</v>
      </c>
      <c r="T34" s="230">
        <f>IF(ISERROR(VLOOKUP(Config!F34,'2013 Belmont Retail Pricing'!A:C,3,FALSE)),"",VLOOKUP(Config!F34,'2013 Belmont Retail Pricing'!A:C,3,FALSE))</f>
        <v>10810</v>
      </c>
      <c r="U34" s="230">
        <f t="shared" si="0"/>
        <v>12361</v>
      </c>
      <c r="V34" s="230"/>
      <c r="W34" s="230">
        <f t="shared" ref="W34:W48" si="2">IF(ISERROR((U34*(1-C34))),"",(U34*(1-C34)))</f>
        <v>6180.5</v>
      </c>
      <c r="X34" s="230">
        <f>W34/(1-Y34)</f>
        <v>9088.9705882352955</v>
      </c>
      <c r="Y34" s="231">
        <v>0.32</v>
      </c>
      <c r="Z34" s="232">
        <f>(T34-X34)/T34</f>
        <v>0.15920716112531957</v>
      </c>
      <c r="AA34" s="233">
        <f t="shared" si="1"/>
        <v>6180.5</v>
      </c>
      <c r="AB34" s="233">
        <f>X34*N34</f>
        <v>9088.9705882352955</v>
      </c>
      <c r="AC34" s="243"/>
      <c r="AD34" s="243"/>
      <c r="AE34" s="243"/>
      <c r="AF34" s="243"/>
      <c r="AG34" s="243"/>
      <c r="AH34" s="243"/>
      <c r="AI34" s="243"/>
      <c r="AJ34" s="243"/>
      <c r="AK34" s="243"/>
      <c r="AL34" s="243"/>
      <c r="AM34" s="243"/>
      <c r="AN34" s="243"/>
      <c r="AO34" s="243"/>
      <c r="AP34" s="243"/>
      <c r="AQ34" s="243"/>
      <c r="AR34" s="243"/>
      <c r="AS34" s="243"/>
      <c r="AT34" s="243"/>
      <c r="AU34" s="243"/>
    </row>
    <row r="35" spans="1:47" s="490" customFormat="1" ht="90.75" customHeight="1">
      <c r="A35" s="236" t="b">
        <v>0</v>
      </c>
      <c r="B35" s="237">
        <v>3</v>
      </c>
      <c r="C35" s="240">
        <f>Inputs!$E$27</f>
        <v>0.5</v>
      </c>
      <c r="D35" s="206" t="str">
        <f t="shared" ref="D35:D48" si="3">IF(E35="Parts",40%,"")</f>
        <v/>
      </c>
      <c r="E35" s="207" t="s">
        <v>1508</v>
      </c>
      <c r="F35" s="208" t="s">
        <v>229</v>
      </c>
      <c r="G35" s="208"/>
      <c r="H35" s="350"/>
      <c r="I35" s="350"/>
      <c r="J35" s="208"/>
      <c r="K35" s="208" t="s">
        <v>416</v>
      </c>
      <c r="L35" s="208"/>
      <c r="M35" s="350"/>
      <c r="N35" s="208">
        <v>1</v>
      </c>
      <c r="O35" s="493" t="str">
        <f>IF(ISERROR(VLOOKUP(K35,'Lists of Products and Options'!A:C,2,FALSE)),"",VLOOKUP(K35,'Lists of Products and Options'!A:C,2,FALSE))</f>
        <v>1P01B7A0</v>
      </c>
      <c r="P35" s="433">
        <f>IF(ISERROR(VLOOKUP(K35,'Lists of Products and Options'!A:C,3,FALSE)),"",VLOOKUP(K35,'Lists of Products and Options'!A:C,3,FALSE))</f>
        <v>582</v>
      </c>
      <c r="Q35" s="433" t="str">
        <f>IF(ISERROR(VLOOKUP(G35,LoCS!R:T,3,FALSE)),"",VLOOKUP(G35,LoCS!R:T,3,FALSE))</f>
        <v/>
      </c>
      <c r="R35" s="433" t="str">
        <f>IF(ISERROR(IF(I35="NonStandard",VLOOKUP(E35&amp;H35&amp;I35,LoCS!G27:H34,2,FALSE),VLOOKUP(E35&amp;H35,LoCS!G27:H34,2,FALSE))),"",IF(I35="NonStandard",VLOOKUP(E35&amp;H35&amp;I35,LoCS!G27:H34,2,FALSE),VLOOKUP(E35&amp;H35,LoCS!G27:H34,2,FALSE)))</f>
        <v/>
      </c>
      <c r="S35" s="495" t="str">
        <f>IF(ISERROR(VLOOKUP(F35,'2013 Belmont Retail Pricing'!A:B,2,FALSE)),"",VLOOKUP(F35,'2013 Belmont Retail Pricing'!A:B,2,FALSE))</f>
        <v>X-Ray, Bel-Ray II Intra-Oral, AC, 31" arm</v>
      </c>
      <c r="T35" s="230">
        <f>IF(ISERROR(VLOOKUP(Config!F35,'2013 Belmont Retail Pricing'!A:C,3,FALSE)),"",VLOOKUP(Config!F35,'2013 Belmont Retail Pricing'!A:C,3,FALSE))</f>
        <v>5454</v>
      </c>
      <c r="U35" s="230">
        <f t="shared" si="0"/>
        <v>6036</v>
      </c>
      <c r="V35" s="230"/>
      <c r="W35" s="230">
        <f t="shared" si="2"/>
        <v>3018</v>
      </c>
      <c r="X35" s="230">
        <f>W35/(1-Y35)</f>
        <v>4438.2352941176478</v>
      </c>
      <c r="Y35" s="231">
        <v>0.32</v>
      </c>
      <c r="Z35" s="232">
        <f>(T35-X35)/T35</f>
        <v>0.18624215362712729</v>
      </c>
      <c r="AA35" s="233">
        <f t="shared" si="1"/>
        <v>3018</v>
      </c>
      <c r="AB35" s="233">
        <f>X35*N35</f>
        <v>4438.2352941176478</v>
      </c>
      <c r="AC35" s="243"/>
      <c r="AD35" s="243"/>
      <c r="AE35" s="243"/>
      <c r="AF35" s="243"/>
      <c r="AG35" s="243"/>
      <c r="AH35" s="243"/>
      <c r="AI35" s="243"/>
      <c r="AJ35" s="243"/>
      <c r="AK35" s="243"/>
      <c r="AL35" s="243"/>
      <c r="AM35" s="243"/>
      <c r="AN35" s="243"/>
      <c r="AO35" s="243"/>
      <c r="AP35" s="243"/>
      <c r="AQ35" s="243"/>
      <c r="AR35" s="243"/>
      <c r="AS35" s="243"/>
      <c r="AT35" s="243"/>
      <c r="AU35" s="243"/>
    </row>
    <row r="36" spans="1:47" s="490" customFormat="1" ht="72.75" customHeight="1">
      <c r="A36" s="241" t="b">
        <v>0</v>
      </c>
      <c r="B36" s="237">
        <v>4</v>
      </c>
      <c r="C36" s="240">
        <f>Inputs!$E$27</f>
        <v>0.5</v>
      </c>
      <c r="D36" s="206" t="str">
        <f t="shared" si="3"/>
        <v/>
      </c>
      <c r="E36" s="207" t="s">
        <v>1501</v>
      </c>
      <c r="F36" s="208" t="s">
        <v>369</v>
      </c>
      <c r="G36" s="208"/>
      <c r="H36" s="350"/>
      <c r="I36" s="350"/>
      <c r="J36" s="208"/>
      <c r="K36" s="208" t="s">
        <v>765</v>
      </c>
      <c r="L36" s="208"/>
      <c r="M36" s="350"/>
      <c r="N36" s="208">
        <v>1</v>
      </c>
      <c r="O36" s="493" t="str">
        <f>IF(ISERROR(VLOOKUP(K36,'Lists of Products and Options'!A:C,2,FALSE)),"",VLOOKUP(K36,'Lists of Products and Options'!A:C,2,FALSE))</f>
        <v>Trim Kit 2" Wide</v>
      </c>
      <c r="P36" s="433">
        <f>IF(ISERROR(VLOOKUP(K36,'Lists of Products and Options'!A:C,3,FALSE)),"",VLOOKUP(K36,'Lists of Products and Options'!A:C,3,FALSE))</f>
        <v>191</v>
      </c>
      <c r="Q36" s="433" t="str">
        <f>IF(ISERROR(VLOOKUP(G36,LoCS!R:T,3,FALSE)),"",VLOOKUP(G36,LoCS!R:T,3,FALSE))</f>
        <v/>
      </c>
      <c r="R36" s="433" t="str">
        <f>IF(ISERROR(IF(I36="NonStandard",VLOOKUP(E36&amp;H36&amp;I36,LoCS!G28:H35,2,FALSE),VLOOKUP(E36&amp;H36,LoCS!G28:H35,2,FALSE))),"",IF(I36="NonStandard",VLOOKUP(E36&amp;H36&amp;I36,LoCS!G28:H35,2,FALSE),VLOOKUP(E36&amp;H36,LoCS!G28:H35,2,FALSE)))</f>
        <v/>
      </c>
      <c r="S36" s="495" t="str">
        <f>IF(ISERROR(VLOOKUP(F36,'2013 Belmont Retail Pricing'!A:B,2,FALSE)),"",VLOOKUP(F36,'2013 Belmont Retail Pricing'!A:B,2,FALSE))</f>
        <v>Cabinet, X-ray Pass Through, 42" Wide</v>
      </c>
      <c r="T36" s="230">
        <f>IF(ISERROR(VLOOKUP(Config!F36,'2013 Belmont Retail Pricing'!A:C,3,FALSE)),"",VLOOKUP(Config!F36,'2013 Belmont Retail Pricing'!A:C,3,FALSE))</f>
        <v>1710</v>
      </c>
      <c r="U36" s="230">
        <f t="shared" si="0"/>
        <v>1901</v>
      </c>
      <c r="V36" s="230"/>
      <c r="W36" s="230">
        <f t="shared" si="2"/>
        <v>950.5</v>
      </c>
      <c r="X36" s="230">
        <f>W36/(1-Y36)</f>
        <v>1397.794117647059</v>
      </c>
      <c r="Y36" s="231">
        <v>0.32</v>
      </c>
      <c r="Z36" s="232">
        <f>(T36-X36)/T36</f>
        <v>0.18257653938768478</v>
      </c>
      <c r="AA36" s="233">
        <f t="shared" si="1"/>
        <v>950.5</v>
      </c>
      <c r="AB36" s="233">
        <f>X36*N36</f>
        <v>1397.794117647059</v>
      </c>
      <c r="AC36" s="243"/>
      <c r="AD36" s="243"/>
      <c r="AE36" s="243"/>
      <c r="AF36" s="243"/>
      <c r="AG36" s="243"/>
      <c r="AH36" s="243"/>
      <c r="AI36" s="243"/>
      <c r="AJ36" s="243"/>
      <c r="AK36" s="243"/>
      <c r="AL36" s="243"/>
      <c r="AM36" s="243"/>
      <c r="AN36" s="243"/>
      <c r="AO36" s="243"/>
      <c r="AP36" s="243"/>
      <c r="AQ36" s="243"/>
      <c r="AR36" s="243"/>
      <c r="AS36" s="243"/>
      <c r="AT36" s="243"/>
      <c r="AU36" s="243"/>
    </row>
    <row r="37" spans="1:47" s="490" customFormat="1" ht="72.75" customHeight="1">
      <c r="A37" s="236" t="b">
        <v>0</v>
      </c>
      <c r="B37" s="237">
        <v>5</v>
      </c>
      <c r="C37" s="240">
        <f>Inputs!$E$27</f>
        <v>0.5</v>
      </c>
      <c r="D37" s="206" t="str">
        <f t="shared" si="3"/>
        <v/>
      </c>
      <c r="E37" s="207" t="s">
        <v>1505</v>
      </c>
      <c r="F37" s="208" t="s">
        <v>28</v>
      </c>
      <c r="G37" s="208"/>
      <c r="H37" s="350" t="s">
        <v>1565</v>
      </c>
      <c r="I37" s="350" t="s">
        <v>1518</v>
      </c>
      <c r="J37" s="208"/>
      <c r="K37" s="208" t="s">
        <v>1627</v>
      </c>
      <c r="L37" s="208"/>
      <c r="M37" s="350"/>
      <c r="N37" s="208">
        <v>1</v>
      </c>
      <c r="O37" s="493" t="str">
        <f>IF(ISERROR(VLOOKUP(K37,'Lists of Products and Options'!A:C,2,FALSE)),"",VLOOKUP(K37,'Lists of Products and Options'!A:C,2,FALSE))</f>
        <v>Long cylinder for 22" - 31" adjustable seat height range (N/C when ordered with stool)</v>
      </c>
      <c r="P37" s="433">
        <f>IF(ISERROR(VLOOKUP(K37,'Lists of Products and Options'!A:C,3,FALSE)),"",VLOOKUP(K37,'Lists of Products and Options'!A:C,3,FALSE))</f>
        <v>0</v>
      </c>
      <c r="Q37" s="433" t="str">
        <f>IF(ISERROR(VLOOKUP(G37,LoCS!R:T,3,FALSE)),"",VLOOKUP(G37,LoCS!R:T,3,FALSE))</f>
        <v/>
      </c>
      <c r="R37" s="433" t="str">
        <f>IF(ISERROR(IF(I37="NonStandard",VLOOKUP(E37&amp;H37&amp;I37,LoCS!G29:H36,2,FALSE),VLOOKUP(E37&amp;H37,LoCS!G29:H36,2,FALSE))),"",IF(I37="NonStandard",VLOOKUP(E37&amp;H37&amp;I37,LoCS!G29:H36,2,FALSE),VLOOKUP(E37&amp;H37,LoCS!G29:H36,2,FALSE)))</f>
        <v/>
      </c>
      <c r="S37" s="495" t="str">
        <f>IF(ISERROR(VLOOKUP(F37,'2013 Belmont Retail Pricing'!A:B,2,FALSE)),"",VLOOKUP(F37,'2013 Belmont Retail Pricing'!A:B,2,FALSE))</f>
        <v>Stool, Assistant, 20"-26" height, Duration, Std. Colors                                                                                                                                                    (Specify right or left hand armrest)</v>
      </c>
      <c r="T37" s="230">
        <f>IF(ISERROR(VLOOKUP(Config!F37,'2013 Belmont Retail Pricing'!A:C,3,FALSE)),"",VLOOKUP(Config!F37,'2013 Belmont Retail Pricing'!A:C,3,FALSE))</f>
        <v>927</v>
      </c>
      <c r="U37" s="230">
        <f t="shared" si="0"/>
        <v>927</v>
      </c>
      <c r="V37" s="230"/>
      <c r="W37" s="230">
        <f t="shared" si="2"/>
        <v>463.5</v>
      </c>
      <c r="X37" s="230">
        <v>0</v>
      </c>
      <c r="Y37" s="231">
        <v>0.32</v>
      </c>
      <c r="Z37" s="232" t="e">
        <v>#DIV/0!</v>
      </c>
      <c r="AA37" s="233">
        <f t="shared" si="1"/>
        <v>463.5</v>
      </c>
      <c r="AB37" s="233">
        <v>0</v>
      </c>
      <c r="AC37" s="243"/>
      <c r="AD37" s="243"/>
      <c r="AE37" s="243"/>
      <c r="AF37" s="243"/>
      <c r="AG37" s="243"/>
      <c r="AH37" s="243"/>
      <c r="AI37" s="243"/>
      <c r="AJ37" s="243"/>
      <c r="AK37" s="243"/>
      <c r="AL37" s="243"/>
      <c r="AM37" s="243"/>
      <c r="AN37" s="243"/>
      <c r="AO37" s="243"/>
      <c r="AP37" s="243"/>
      <c r="AQ37" s="243"/>
      <c r="AR37" s="243"/>
      <c r="AS37" s="243"/>
      <c r="AT37" s="243"/>
      <c r="AU37" s="243"/>
    </row>
    <row r="38" spans="1:47" s="490" customFormat="1" ht="72.75" customHeight="1">
      <c r="A38" s="236" t="b">
        <v>0</v>
      </c>
      <c r="B38" s="237">
        <v>6</v>
      </c>
      <c r="C38" s="240">
        <f>Inputs!$E$27</f>
        <v>0.5</v>
      </c>
      <c r="D38" s="206" t="str">
        <f t="shared" si="3"/>
        <v/>
      </c>
      <c r="E38" s="207" t="s">
        <v>1504</v>
      </c>
      <c r="F38" s="208" t="s">
        <v>1720</v>
      </c>
      <c r="G38" s="208"/>
      <c r="H38" s="350"/>
      <c r="I38" s="350"/>
      <c r="J38" s="208"/>
      <c r="K38" s="208" t="s">
        <v>850</v>
      </c>
      <c r="L38" s="208"/>
      <c r="M38" s="350" t="s">
        <v>2418</v>
      </c>
      <c r="N38" s="208">
        <v>1</v>
      </c>
      <c r="O38" s="493" t="str">
        <f>IF(ISERROR(VLOOKUP(K38,'Lists of Products and Options'!A:C,2,FALSE)),"",VLOOKUP(K38,'Lists of Products and Options'!A:C,2,FALSE))</f>
        <v>Field Installation Kit for Mounting Clesta 517N to D-4 &amp; D-4R Cabinets (no ETL listing)</v>
      </c>
      <c r="P38" s="433">
        <f>IF(ISERROR(VLOOKUP(K38,'Lists of Products and Options'!A:C,3,FALSE)),"",VLOOKUP(K38,'Lists of Products and Options'!A:C,3,FALSE))</f>
        <v>685</v>
      </c>
      <c r="Q38" s="433" t="str">
        <f>IF(ISERROR(VLOOKUP(G38,LoCS!R:T,3,FALSE)),"",VLOOKUP(G38,LoCS!R:T,3,FALSE))</f>
        <v/>
      </c>
      <c r="R38" s="433" t="str">
        <f>IF(ISERROR(IF(I38="NonStandard",VLOOKUP(E38&amp;H38&amp;I38,LoCS!G30:H37,2,FALSE),VLOOKUP(E38&amp;H38,LoCS!G30:H37,2,FALSE))),"",IF(I38="NonStandard",VLOOKUP(E38&amp;H38&amp;I38,LoCS!G30:H37,2,FALSE),VLOOKUP(E38&amp;H38,LoCS!G30:H37,2,FALSE)))</f>
        <v/>
      </c>
      <c r="S38" s="495" t="str">
        <f>IF(ISERROR(VLOOKUP(F38,'2013 Belmont Retail Pricing'!A:B,2,FALSE)),"",VLOOKUP(F38,'2013 Belmont Retail Pricing'!A:B,2,FALSE))</f>
        <v>Light, Wall Mount, Clesta</v>
      </c>
      <c r="T38" s="230">
        <f>IF(ISERROR(VLOOKUP(Config!F38,'2013 Belmont Retail Pricing'!A:C,3,FALSE)),"",VLOOKUP(Config!F38,'2013 Belmont Retail Pricing'!A:C,3,FALSE))</f>
        <v>2864</v>
      </c>
      <c r="U38" s="230">
        <f t="shared" si="0"/>
        <v>3549</v>
      </c>
      <c r="V38" s="230"/>
      <c r="W38" s="230">
        <f t="shared" si="2"/>
        <v>1774.5</v>
      </c>
      <c r="X38" s="230">
        <f>W38/(1-Y38)</f>
        <v>2609.5588235294122</v>
      </c>
      <c r="Y38" s="231">
        <v>0.32</v>
      </c>
      <c r="Z38" s="232">
        <f>(T38-X38)/T38</f>
        <v>8.8841192901741556E-2</v>
      </c>
      <c r="AA38" s="233">
        <f t="shared" si="1"/>
        <v>1774.5</v>
      </c>
      <c r="AB38" s="233">
        <f>X38*N38</f>
        <v>2609.5588235294122</v>
      </c>
      <c r="AC38" s="243"/>
      <c r="AD38" s="243"/>
      <c r="AE38" s="243"/>
      <c r="AF38" s="243"/>
      <c r="AG38" s="243"/>
      <c r="AH38" s="243"/>
      <c r="AI38" s="243"/>
      <c r="AJ38" s="243"/>
      <c r="AK38" s="243"/>
      <c r="AL38" s="243"/>
      <c r="AM38" s="243"/>
      <c r="AN38" s="243"/>
      <c r="AO38" s="243"/>
      <c r="AP38" s="243"/>
      <c r="AQ38" s="243"/>
      <c r="AR38" s="243"/>
      <c r="AS38" s="243"/>
      <c r="AT38" s="243"/>
      <c r="AU38" s="243"/>
    </row>
    <row r="39" spans="1:47" s="490" customFormat="1" ht="72.75" customHeight="1">
      <c r="A39" s="236" t="b">
        <v>0</v>
      </c>
      <c r="B39" s="237">
        <v>7</v>
      </c>
      <c r="C39" s="240">
        <f>Inputs!$E$27</f>
        <v>0.5</v>
      </c>
      <c r="D39" s="206" t="str">
        <f t="shared" si="3"/>
        <v/>
      </c>
      <c r="E39" s="207" t="s">
        <v>1501</v>
      </c>
      <c r="F39" s="208" t="s">
        <v>346</v>
      </c>
      <c r="G39" s="208"/>
      <c r="H39" s="350" t="s">
        <v>2053</v>
      </c>
      <c r="I39" s="350" t="s">
        <v>1728</v>
      </c>
      <c r="J39" s="208" t="s">
        <v>1517</v>
      </c>
      <c r="K39" s="208" t="s">
        <v>836</v>
      </c>
      <c r="L39" s="208"/>
      <c r="M39" s="350"/>
      <c r="N39" s="208">
        <v>1</v>
      </c>
      <c r="O39" s="493" t="str">
        <f>IF(ISERROR(VLOOKUP(K39,'Lists of Products and Options'!A:C,2,FALSE)),"",VLOOKUP(K39,'Lists of Products and Options'!A:C,2,FALSE))</f>
        <v>Lead lining for D-4R</v>
      </c>
      <c r="P39" s="433">
        <f>IF(ISERROR(VLOOKUP(K39,'Lists of Products and Options'!A:C,3,FALSE)),"",VLOOKUP(K39,'Lists of Products and Options'!A:C,3,FALSE))</f>
        <v>948</v>
      </c>
      <c r="Q39" s="433" t="str">
        <f>IF(ISERROR(VLOOKUP(G39,LoCS!R:T,3,FALSE)),"",VLOOKUP(G39,LoCS!R:T,3,FALSE))</f>
        <v/>
      </c>
      <c r="R39" s="433" t="str">
        <f>IF(ISERROR(IF(I39="NonStandard",VLOOKUP(E39&amp;H39&amp;I39,LoCS!G31:H38,2,FALSE),VLOOKUP(E39&amp;H39,LoCS!G31:H38,2,FALSE))),"",IF(I39="NonStandard",VLOOKUP(E39&amp;H39&amp;I39,LoCS!G31:H38,2,FALSE),VLOOKUP(E39&amp;H39,LoCS!G31:H38,2,FALSE)))</f>
        <v/>
      </c>
      <c r="S39" s="495" t="str">
        <f>IF(ISERROR(VLOOKUP(F39,'2013 Belmont Retail Pricing'!A:B,2,FALSE)),"",VLOOKUP(F39,'2013 Belmont Retail Pricing'!A:B,2,FALSE))</f>
        <v>Cabinet, Split Entry Console 72" Tall</v>
      </c>
      <c r="T39" s="230">
        <f>IF(ISERROR(VLOOKUP(Config!F39,'2013 Belmont Retail Pricing'!A:C,3,FALSE)),"",VLOOKUP(Config!F39,'2013 Belmont Retail Pricing'!A:C,3,FALSE))</f>
        <v>10939</v>
      </c>
      <c r="U39" s="230">
        <f t="shared" si="0"/>
        <v>11887</v>
      </c>
      <c r="V39" s="230"/>
      <c r="W39" s="230">
        <f t="shared" si="2"/>
        <v>5943.5</v>
      </c>
      <c r="X39" s="230">
        <v>0</v>
      </c>
      <c r="Y39" s="231">
        <v>0.32</v>
      </c>
      <c r="Z39" s="232" t="e">
        <v>#DIV/0!</v>
      </c>
      <c r="AA39" s="233">
        <f t="shared" si="1"/>
        <v>5943.5</v>
      </c>
      <c r="AB39" s="233">
        <v>0</v>
      </c>
      <c r="AC39" s="243"/>
      <c r="AD39" s="243"/>
      <c r="AE39" s="243"/>
      <c r="AF39" s="243"/>
      <c r="AG39" s="243"/>
      <c r="AH39" s="243"/>
      <c r="AI39" s="243"/>
      <c r="AJ39" s="243"/>
      <c r="AK39" s="243"/>
      <c r="AL39" s="243"/>
      <c r="AM39" s="243"/>
      <c r="AN39" s="243"/>
      <c r="AO39" s="243"/>
      <c r="AP39" s="243"/>
      <c r="AQ39" s="243"/>
      <c r="AR39" s="243"/>
      <c r="AS39" s="243"/>
      <c r="AT39" s="243"/>
      <c r="AU39" s="243"/>
    </row>
    <row r="40" spans="1:47" s="490" customFormat="1" ht="72.75" customHeight="1">
      <c r="A40" s="238" t="b">
        <v>0</v>
      </c>
      <c r="B40" s="237">
        <v>8</v>
      </c>
      <c r="C40" s="240">
        <f>Inputs!$E$27</f>
        <v>0.5</v>
      </c>
      <c r="D40" s="206" t="str">
        <f t="shared" si="3"/>
        <v/>
      </c>
      <c r="E40" s="207" t="s">
        <v>1503</v>
      </c>
      <c r="F40" s="208" t="s">
        <v>22</v>
      </c>
      <c r="G40" s="208"/>
      <c r="H40" s="350"/>
      <c r="I40" s="350"/>
      <c r="J40" s="208"/>
      <c r="K40" s="208" t="s">
        <v>538</v>
      </c>
      <c r="L40" s="208"/>
      <c r="M40" s="350"/>
      <c r="N40" s="208">
        <v>1</v>
      </c>
      <c r="O40" s="493" t="str">
        <f>IF(ISERROR(VLOOKUP(K40,'Lists of Products and Options'!A:C,2,FALSE)),"",VLOOKUP(K40,'Lists of Products and Options'!A:C,2,FALSE))</f>
        <v>Chair mounted touchpad, 2 programmable position &amp; AR</v>
      </c>
      <c r="P40" s="433">
        <f>IF(ISERROR(VLOOKUP(K40,'Lists of Products and Options'!A:C,3,FALSE)),"",VLOOKUP(K40,'Lists of Products and Options'!A:C,3,FALSE))</f>
        <v>541</v>
      </c>
      <c r="Q40" s="433" t="str">
        <f>IF(ISERROR(VLOOKUP(G40,LoCS!R:T,3,FALSE)),"",VLOOKUP(G40,LoCS!R:T,3,FALSE))</f>
        <v/>
      </c>
      <c r="R40" s="433" t="str">
        <f>IF(ISERROR(IF(I40="NonStandard",VLOOKUP(E40&amp;H40&amp;I40,LoCS!G32:H39,2,FALSE),VLOOKUP(E40&amp;H40,LoCS!G32:H39,2,FALSE))),"",IF(I40="NonStandard",VLOOKUP(E40&amp;H40&amp;I40,LoCS!G32:H39,2,FALSE),VLOOKUP(E40&amp;H40,LoCS!G32:H39,2,FALSE)))</f>
        <v/>
      </c>
      <c r="S40" s="495" t="str">
        <f>IF(ISERROR(VLOOKUP(F40,'2013 Belmont Retail Pricing'!A:B,2,FALSE)),"",VLOOKUP(F40,'2013 Belmont Retail Pricing'!A:B,2,FALSE))</f>
        <v>Chair, X-Calibur, (W/ Duration Upholstery, Std. Colors)</v>
      </c>
      <c r="T40" s="230">
        <f>IF(ISERROR(VLOOKUP(Config!F40,'2013 Belmont Retail Pricing'!A:C,3,FALSE)),"",VLOOKUP(Config!F40,'2013 Belmont Retail Pricing'!A:C,3,FALSE))</f>
        <v>6690</v>
      </c>
      <c r="U40" s="230">
        <f t="shared" si="0"/>
        <v>7231</v>
      </c>
      <c r="V40" s="230"/>
      <c r="W40" s="230">
        <f t="shared" si="2"/>
        <v>3615.5</v>
      </c>
      <c r="X40" s="230">
        <v>0</v>
      </c>
      <c r="Y40" s="231">
        <v>0.32</v>
      </c>
      <c r="Z40" s="232" t="e">
        <v>#DIV/0!</v>
      </c>
      <c r="AA40" s="233">
        <f t="shared" si="1"/>
        <v>3615.5</v>
      </c>
      <c r="AB40" s="233">
        <v>0</v>
      </c>
      <c r="AC40" s="243"/>
      <c r="AD40" s="243"/>
      <c r="AE40" s="243"/>
      <c r="AF40" s="243"/>
      <c r="AG40" s="243"/>
      <c r="AH40" s="243"/>
      <c r="AI40" s="243"/>
      <c r="AJ40" s="243"/>
      <c r="AK40" s="243"/>
      <c r="AL40" s="243"/>
      <c r="AM40" s="243"/>
      <c r="AN40" s="243"/>
      <c r="AO40" s="243"/>
      <c r="AP40" s="243"/>
      <c r="AQ40" s="243"/>
      <c r="AR40" s="243"/>
      <c r="AS40" s="243"/>
      <c r="AT40" s="243"/>
      <c r="AU40" s="243"/>
    </row>
    <row r="41" spans="1:47" s="490" customFormat="1" ht="72.75" customHeight="1">
      <c r="A41" s="238" t="b">
        <v>0</v>
      </c>
      <c r="B41" s="237">
        <v>9</v>
      </c>
      <c r="C41" s="240">
        <f>Inputs!$E$27</f>
        <v>0.5</v>
      </c>
      <c r="D41" s="206" t="str">
        <f t="shared" si="3"/>
        <v/>
      </c>
      <c r="E41" s="207" t="s">
        <v>1504</v>
      </c>
      <c r="F41" s="208" t="s">
        <v>198</v>
      </c>
      <c r="G41" s="208"/>
      <c r="H41" s="350"/>
      <c r="I41" s="350"/>
      <c r="J41" s="208"/>
      <c r="K41" s="208"/>
      <c r="L41" s="208"/>
      <c r="M41" s="350" t="s">
        <v>22</v>
      </c>
      <c r="N41" s="208">
        <v>1</v>
      </c>
      <c r="O41" s="493" t="str">
        <f>IF(ISERROR(VLOOKUP(K41,'Lists of Products and Options'!A:C,2,FALSE)),"",VLOOKUP(K41,'Lists of Products and Options'!A:C,2,FALSE))</f>
        <v/>
      </c>
      <c r="P41" s="433" t="str">
        <f>IF(ISERROR(VLOOKUP(K41,'Lists of Products and Options'!A:C,3,FALSE)),"",VLOOKUP(K41,'Lists of Products and Options'!A:C,3,FALSE))</f>
        <v/>
      </c>
      <c r="Q41" s="433" t="str">
        <f>IF(ISERROR(VLOOKUP(G41,LoCS!R:T,3,FALSE)),"",VLOOKUP(G41,LoCS!R:T,3,FALSE))</f>
        <v/>
      </c>
      <c r="R41" s="433" t="str">
        <f>IF(ISERROR(IF(I41="NonStandard",VLOOKUP(E41&amp;H41&amp;I41,LoCS!G33:H40,2,FALSE),VLOOKUP(E41&amp;H41,LoCS!G33:H40,2,FALSE))),"",IF(I41="NonStandard",VLOOKUP(E41&amp;H41&amp;I41,LoCS!G33:H40,2,FALSE),VLOOKUP(E41&amp;H41,LoCS!G33:H40,2,FALSE)))</f>
        <v/>
      </c>
      <c r="S41" s="495" t="str">
        <f>IF(ISERROR(VLOOKUP(F41,'2013 Belmont Retail Pricing'!A:B,2,FALSE)),"",VLOOKUP(F41,'2013 Belmont Retail Pricing'!A:B,2,FALSE))</f>
        <v>Light, Bel-Halo LED, Post Mount, White                                                        (Requires BDS0012, BDS0013 post                                     or 8482B post+ chair adapter)</v>
      </c>
      <c r="T41" s="230">
        <f>IF(ISERROR(VLOOKUP(Config!F41,'2013 Belmont Retail Pricing'!A:C,3,FALSE)),"",VLOOKUP(Config!F41,'2013 Belmont Retail Pricing'!A:C,3,FALSE))</f>
        <v>4136</v>
      </c>
      <c r="U41" s="230">
        <f t="shared" si="0"/>
        <v>4136</v>
      </c>
      <c r="V41" s="230"/>
      <c r="W41" s="230">
        <f t="shared" si="2"/>
        <v>2068</v>
      </c>
      <c r="X41" s="230">
        <f>W41/(1-Y41)</f>
        <v>3041.1764705882356</v>
      </c>
      <c r="Y41" s="231">
        <v>0.32</v>
      </c>
      <c r="Z41" s="232">
        <f>(T41-X41)/T41</f>
        <v>0.26470588235294112</v>
      </c>
      <c r="AA41" s="233">
        <f t="shared" si="1"/>
        <v>2068</v>
      </c>
      <c r="AB41" s="233">
        <f>X41*N41</f>
        <v>3041.1764705882356</v>
      </c>
      <c r="AC41" s="243"/>
      <c r="AD41" s="243"/>
      <c r="AE41" s="243"/>
      <c r="AF41" s="243"/>
      <c r="AG41" s="243"/>
      <c r="AH41" s="243"/>
      <c r="AI41" s="243"/>
      <c r="AJ41" s="243"/>
      <c r="AK41" s="243"/>
      <c r="AL41" s="243"/>
      <c r="AM41" s="243"/>
      <c r="AN41" s="243"/>
      <c r="AO41" s="243"/>
      <c r="AP41" s="243"/>
      <c r="AQ41" s="243"/>
      <c r="AR41" s="243"/>
      <c r="AS41" s="243"/>
      <c r="AT41" s="243"/>
      <c r="AU41" s="243"/>
    </row>
    <row r="42" spans="1:47" s="490" customFormat="1" ht="72.75" customHeight="1">
      <c r="A42" s="238" t="b">
        <v>0</v>
      </c>
      <c r="B42" s="237">
        <v>10</v>
      </c>
      <c r="C42" s="240">
        <f>Inputs!$E$27</f>
        <v>0.5</v>
      </c>
      <c r="D42" s="206" t="str">
        <f t="shared" si="3"/>
        <v/>
      </c>
      <c r="E42" s="207"/>
      <c r="F42" s="208"/>
      <c r="G42" s="208"/>
      <c r="H42" s="350"/>
      <c r="I42" s="350"/>
      <c r="J42" s="208"/>
      <c r="K42" s="208"/>
      <c r="L42" s="208"/>
      <c r="M42" s="350"/>
      <c r="N42" s="208"/>
      <c r="O42" s="493" t="str">
        <f>IF(ISERROR(VLOOKUP(K42,'Lists of Products and Options'!A:C,2,FALSE)),"",VLOOKUP(K42,'Lists of Products and Options'!A:C,2,FALSE))</f>
        <v/>
      </c>
      <c r="P42" s="433" t="str">
        <f>IF(ISERROR(VLOOKUP(K42,'Lists of Products and Options'!A:C,3,FALSE)),"",VLOOKUP(K42,'Lists of Products and Options'!A:C,3,FALSE))</f>
        <v/>
      </c>
      <c r="Q42" s="433" t="str">
        <f>IF(ISERROR(VLOOKUP(G42,LoCS!R:T,3,FALSE)),"",VLOOKUP(G42,LoCS!R:T,3,FALSE))</f>
        <v/>
      </c>
      <c r="R42" s="433" t="str">
        <f>IF(ISERROR(IF(I42="NonStandard",VLOOKUP(E42&amp;H42&amp;I42,LoCS!G34:H41,2,FALSE),VLOOKUP(E42&amp;H42,LoCS!G34:H41,2,FALSE))),"",IF(I42="NonStandard",VLOOKUP(E42&amp;H42&amp;I42,LoCS!G34:H41,2,FALSE),VLOOKUP(E42&amp;H42,LoCS!G34:H41,2,FALSE)))</f>
        <v/>
      </c>
      <c r="S42" s="495" t="str">
        <f>IF(ISERROR(VLOOKUP(F42,'2013 Belmont Retail Pricing'!A:B,2,FALSE)),"",VLOOKUP(F42,'2013 Belmont Retail Pricing'!A:B,2,FALSE))</f>
        <v/>
      </c>
      <c r="T42" s="230" t="str">
        <f>IF(ISERROR(VLOOKUP(Config!F42,'2013 Belmont Retail Pricing'!A:C,3,FALSE)),"",VLOOKUP(Config!F42,'2013 Belmont Retail Pricing'!A:C,3,FALSE))</f>
        <v/>
      </c>
      <c r="U42" s="230">
        <f t="shared" si="0"/>
        <v>0</v>
      </c>
      <c r="V42" s="230"/>
      <c r="W42" s="230">
        <f t="shared" si="2"/>
        <v>0</v>
      </c>
      <c r="X42" s="230">
        <f>W42/(1-Y42)</f>
        <v>0</v>
      </c>
      <c r="Y42" s="231">
        <v>0.32</v>
      </c>
      <c r="Z42" s="232" t="e">
        <f>(T42-X42)/T42</f>
        <v>#VALUE!</v>
      </c>
      <c r="AA42" s="233">
        <f t="shared" si="1"/>
        <v>0</v>
      </c>
      <c r="AB42" s="233">
        <f>X42*N42</f>
        <v>0</v>
      </c>
      <c r="AC42" s="243"/>
      <c r="AD42" s="243"/>
      <c r="AE42" s="243"/>
      <c r="AF42" s="243"/>
      <c r="AG42" s="243"/>
      <c r="AH42" s="243"/>
      <c r="AI42" s="243"/>
      <c r="AJ42" s="243"/>
      <c r="AK42" s="243"/>
      <c r="AL42" s="243"/>
      <c r="AM42" s="243"/>
      <c r="AN42" s="243"/>
      <c r="AO42" s="243"/>
      <c r="AP42" s="243"/>
      <c r="AQ42" s="243"/>
      <c r="AR42" s="243"/>
      <c r="AS42" s="243"/>
      <c r="AT42" s="243"/>
      <c r="AU42" s="243"/>
    </row>
    <row r="43" spans="1:47" s="490" customFormat="1" ht="72.75" customHeight="1">
      <c r="A43" s="238" t="b">
        <v>0</v>
      </c>
      <c r="B43" s="237">
        <v>11</v>
      </c>
      <c r="C43" s="240">
        <f>Inputs!$E$27</f>
        <v>0.5</v>
      </c>
      <c r="D43" s="206" t="str">
        <f t="shared" si="3"/>
        <v/>
      </c>
      <c r="E43" s="207"/>
      <c r="F43" s="208"/>
      <c r="G43" s="208"/>
      <c r="H43" s="350"/>
      <c r="I43" s="350"/>
      <c r="J43" s="208"/>
      <c r="K43" s="208"/>
      <c r="L43" s="208"/>
      <c r="M43" s="350"/>
      <c r="N43" s="208"/>
      <c r="O43" s="493" t="str">
        <f>IF(ISERROR(VLOOKUP(K43,'Lists of Products and Options'!A:C,2,FALSE)),"",VLOOKUP(K43,'Lists of Products and Options'!A:C,2,FALSE))</f>
        <v/>
      </c>
      <c r="P43" s="433" t="str">
        <f>IF(ISERROR(VLOOKUP(K43,'Lists of Products and Options'!A:C,3,FALSE)),"",VLOOKUP(K43,'Lists of Products and Options'!A:C,3,FALSE))</f>
        <v/>
      </c>
      <c r="Q43" s="433" t="str">
        <f>IF(ISERROR(VLOOKUP(G43,LoCS!R:T,3,FALSE)),"",VLOOKUP(G43,LoCS!R:T,3,FALSE))</f>
        <v/>
      </c>
      <c r="R43" s="433" t="str">
        <f>IF(ISERROR(IF(I43="NonStandard",VLOOKUP(E43&amp;H43&amp;I43,LoCS!G35:H42,2,FALSE),VLOOKUP(E43&amp;H43,LoCS!G35:H42,2,FALSE))),"",IF(I43="NonStandard",VLOOKUP(E43&amp;H43&amp;I43,LoCS!G35:H42,2,FALSE),VLOOKUP(E43&amp;H43,LoCS!G35:H42,2,FALSE)))</f>
        <v/>
      </c>
      <c r="S43" s="495" t="str">
        <f>IF(ISERROR(VLOOKUP(F43,'2013 Belmont Retail Pricing'!A:B,2,FALSE)),"",VLOOKUP(F43,'2013 Belmont Retail Pricing'!A:B,2,FALSE))</f>
        <v/>
      </c>
      <c r="T43" s="230" t="str">
        <f>IF(ISERROR(VLOOKUP(Config!F43,'2013 Belmont Retail Pricing'!A:C,3,FALSE)),"",VLOOKUP(Config!F43,'2013 Belmont Retail Pricing'!A:C,3,FALSE))</f>
        <v/>
      </c>
      <c r="U43" s="230">
        <f t="shared" si="0"/>
        <v>0</v>
      </c>
      <c r="V43" s="230"/>
      <c r="W43" s="230">
        <f t="shared" si="2"/>
        <v>0</v>
      </c>
      <c r="X43" s="230">
        <f>W43/(1-Y43)</f>
        <v>0</v>
      </c>
      <c r="Y43" s="231">
        <v>0.32</v>
      </c>
      <c r="Z43" s="232" t="e">
        <f>(T43-X43)/T43</f>
        <v>#VALUE!</v>
      </c>
      <c r="AA43" s="233">
        <f t="shared" si="1"/>
        <v>0</v>
      </c>
      <c r="AB43" s="233">
        <f>X43*N43</f>
        <v>0</v>
      </c>
      <c r="AC43" s="243"/>
      <c r="AD43" s="243"/>
      <c r="AE43" s="243"/>
      <c r="AF43" s="243"/>
      <c r="AG43" s="243"/>
      <c r="AH43" s="243"/>
      <c r="AI43" s="243"/>
      <c r="AJ43" s="243"/>
      <c r="AK43" s="243"/>
      <c r="AL43" s="243"/>
      <c r="AM43" s="243"/>
      <c r="AN43" s="243"/>
      <c r="AO43" s="243"/>
      <c r="AP43" s="243"/>
      <c r="AQ43" s="243"/>
      <c r="AR43" s="243"/>
      <c r="AS43" s="243"/>
      <c r="AT43" s="243"/>
      <c r="AU43" s="243"/>
    </row>
    <row r="44" spans="1:47" s="490" customFormat="1" ht="72.75" customHeight="1">
      <c r="A44" s="238" t="b">
        <v>0</v>
      </c>
      <c r="B44" s="237">
        <v>12</v>
      </c>
      <c r="C44" s="240">
        <f>Inputs!$E$27</f>
        <v>0.5</v>
      </c>
      <c r="D44" s="206" t="str">
        <f t="shared" si="3"/>
        <v/>
      </c>
      <c r="E44" s="207"/>
      <c r="F44" s="208"/>
      <c r="G44" s="208"/>
      <c r="H44" s="350"/>
      <c r="I44" s="350"/>
      <c r="J44" s="208"/>
      <c r="K44" s="208"/>
      <c r="L44" s="208"/>
      <c r="M44" s="350"/>
      <c r="N44" s="208"/>
      <c r="O44" s="493" t="str">
        <f>IF(ISERROR(VLOOKUP(K44,'Lists of Products and Options'!A:C,2,FALSE)),"",VLOOKUP(K44,'Lists of Products and Options'!A:C,2,FALSE))</f>
        <v/>
      </c>
      <c r="P44" s="433" t="str">
        <f>IF(ISERROR(VLOOKUP(K44,'Lists of Products and Options'!A:C,3,FALSE)),"",VLOOKUP(K44,'Lists of Products and Options'!A:C,3,FALSE))</f>
        <v/>
      </c>
      <c r="Q44" s="433" t="str">
        <f>IF(ISERROR(VLOOKUP(G44,LoCS!R:T,3,FALSE)),"",VLOOKUP(G44,LoCS!R:T,3,FALSE))</f>
        <v/>
      </c>
      <c r="R44" s="433" t="str">
        <f>IF(ISERROR(IF(I44="NonStandard",VLOOKUP(E44&amp;H44&amp;I44,LoCS!G36:H43,2,FALSE),VLOOKUP(E44&amp;H44,LoCS!G36:H43,2,FALSE))),"",IF(I44="NonStandard",VLOOKUP(E44&amp;H44&amp;I44,LoCS!G36:H43,2,FALSE),VLOOKUP(E44&amp;H44,LoCS!G36:H43,2,FALSE)))</f>
        <v/>
      </c>
      <c r="S44" s="495" t="str">
        <f>IF(ISERROR(VLOOKUP(F44,'2013 Belmont Retail Pricing'!A:B,2,FALSE)),"",VLOOKUP(F44,'2013 Belmont Retail Pricing'!A:B,2,FALSE))</f>
        <v/>
      </c>
      <c r="T44" s="230" t="str">
        <f>IF(ISERROR(VLOOKUP(Config!F44,'2013 Belmont Retail Pricing'!A:C,3,FALSE)),"",VLOOKUP(Config!F44,'2013 Belmont Retail Pricing'!A:C,3,FALSE))</f>
        <v/>
      </c>
      <c r="U44" s="230">
        <f t="shared" si="0"/>
        <v>0</v>
      </c>
      <c r="V44" s="230"/>
      <c r="W44" s="230">
        <f t="shared" si="2"/>
        <v>0</v>
      </c>
      <c r="X44" s="230">
        <v>0</v>
      </c>
      <c r="Y44" s="231">
        <v>0.32</v>
      </c>
      <c r="Z44" s="232" t="e">
        <v>#DIV/0!</v>
      </c>
      <c r="AA44" s="233">
        <f t="shared" si="1"/>
        <v>0</v>
      </c>
      <c r="AB44" s="233">
        <v>0</v>
      </c>
      <c r="AC44" s="243"/>
      <c r="AD44" s="243"/>
      <c r="AE44" s="243"/>
      <c r="AF44" s="243"/>
      <c r="AG44" s="243"/>
      <c r="AH44" s="243"/>
      <c r="AI44" s="243"/>
      <c r="AJ44" s="243"/>
      <c r="AK44" s="243"/>
      <c r="AL44" s="243"/>
      <c r="AM44" s="243"/>
      <c r="AN44" s="243"/>
      <c r="AO44" s="243"/>
      <c r="AP44" s="243"/>
      <c r="AQ44" s="243"/>
      <c r="AR44" s="243"/>
      <c r="AS44" s="243"/>
      <c r="AT44" s="243"/>
      <c r="AU44" s="243"/>
    </row>
    <row r="45" spans="1:47" s="490" customFormat="1" ht="72.75" customHeight="1">
      <c r="A45" s="238" t="b">
        <v>0</v>
      </c>
      <c r="B45" s="237">
        <v>13</v>
      </c>
      <c r="C45" s="240">
        <f>Inputs!$E$27</f>
        <v>0.5</v>
      </c>
      <c r="D45" s="206" t="str">
        <f t="shared" si="3"/>
        <v/>
      </c>
      <c r="E45" s="207"/>
      <c r="F45" s="208"/>
      <c r="G45" s="208"/>
      <c r="H45" s="350"/>
      <c r="I45" s="350"/>
      <c r="J45" s="208"/>
      <c r="K45" s="208"/>
      <c r="L45" s="208"/>
      <c r="M45" s="350"/>
      <c r="N45" s="208"/>
      <c r="O45" s="493" t="str">
        <f>IF(ISERROR(VLOOKUP(K45,'Lists of Products and Options'!A:C,2,FALSE)),"",VLOOKUP(K45,'Lists of Products and Options'!A:C,2,FALSE))</f>
        <v/>
      </c>
      <c r="P45" s="433" t="str">
        <f>IF(ISERROR(VLOOKUP(K45,'Lists of Products and Options'!A:C,3,FALSE)),"",VLOOKUP(K45,'Lists of Products and Options'!A:C,3,FALSE))</f>
        <v/>
      </c>
      <c r="Q45" s="433" t="str">
        <f>IF(ISERROR(VLOOKUP(G45,LoCS!R:T,3,FALSE)),"",VLOOKUP(G45,LoCS!R:T,3,FALSE))</f>
        <v/>
      </c>
      <c r="R45" s="433" t="str">
        <f>IF(ISERROR(IF(I45="NonStandard",VLOOKUP(E45&amp;H45&amp;I45,LoCS!G37:H44,2,FALSE),VLOOKUP(E45&amp;H45,LoCS!G37:H44,2,FALSE))),"",IF(I45="NonStandard",VLOOKUP(E45&amp;H45&amp;I45,LoCS!G37:H44,2,FALSE),VLOOKUP(E45&amp;H45,LoCS!G37:H44,2,FALSE)))</f>
        <v/>
      </c>
      <c r="S45" s="495" t="str">
        <f>IF(ISERROR(VLOOKUP(F45,'2013 Belmont Retail Pricing'!A:B,2,FALSE)),"",VLOOKUP(F45,'2013 Belmont Retail Pricing'!A:B,2,FALSE))</f>
        <v/>
      </c>
      <c r="T45" s="230" t="str">
        <f>IF(ISERROR(VLOOKUP(Config!F45,'2013 Belmont Retail Pricing'!A:C,3,FALSE)),"",VLOOKUP(Config!F45,'2013 Belmont Retail Pricing'!A:C,3,FALSE))</f>
        <v/>
      </c>
      <c r="U45" s="230">
        <f t="shared" si="0"/>
        <v>0</v>
      </c>
      <c r="V45" s="230"/>
      <c r="W45" s="230">
        <f t="shared" si="2"/>
        <v>0</v>
      </c>
      <c r="X45" s="230">
        <f>W45/(1-Y45)</f>
        <v>0</v>
      </c>
      <c r="Y45" s="231">
        <v>0.32</v>
      </c>
      <c r="Z45" s="232" t="e">
        <f>(T45-X45)/T45</f>
        <v>#VALUE!</v>
      </c>
      <c r="AA45" s="233">
        <f t="shared" si="1"/>
        <v>0</v>
      </c>
      <c r="AB45" s="233">
        <f>X45*N45</f>
        <v>0</v>
      </c>
      <c r="AC45" s="243"/>
      <c r="AD45" s="243"/>
      <c r="AE45" s="243"/>
      <c r="AF45" s="243"/>
      <c r="AG45" s="243"/>
      <c r="AH45" s="243"/>
      <c r="AI45" s="243"/>
      <c r="AJ45" s="243"/>
      <c r="AK45" s="243"/>
      <c r="AL45" s="243"/>
      <c r="AM45" s="243"/>
      <c r="AN45" s="243"/>
      <c r="AO45" s="243"/>
      <c r="AP45" s="243"/>
      <c r="AQ45" s="243"/>
      <c r="AR45" s="243"/>
      <c r="AS45" s="243"/>
      <c r="AT45" s="243"/>
      <c r="AU45" s="243"/>
    </row>
    <row r="46" spans="1:47" s="490" customFormat="1" ht="72.75" customHeight="1">
      <c r="A46" s="238" t="b">
        <v>0</v>
      </c>
      <c r="B46" s="237">
        <v>14</v>
      </c>
      <c r="C46" s="240">
        <f>Inputs!$E$27</f>
        <v>0.5</v>
      </c>
      <c r="D46" s="206" t="str">
        <f t="shared" si="3"/>
        <v/>
      </c>
      <c r="E46" s="207"/>
      <c r="F46" s="208"/>
      <c r="G46" s="208"/>
      <c r="H46" s="350"/>
      <c r="I46" s="350"/>
      <c r="J46" s="208"/>
      <c r="K46" s="208"/>
      <c r="L46" s="208"/>
      <c r="M46" s="350"/>
      <c r="N46" s="208"/>
      <c r="O46" s="493" t="str">
        <f>IF(ISERROR(VLOOKUP(K46,'Lists of Products and Options'!A:C,2,FALSE)),"",VLOOKUP(K46,'Lists of Products and Options'!A:C,2,FALSE))</f>
        <v/>
      </c>
      <c r="P46" s="433" t="str">
        <f>IF(ISERROR(VLOOKUP(K46,'Lists of Products and Options'!A:C,3,FALSE)),"",VLOOKUP(K46,'Lists of Products and Options'!A:C,3,FALSE))</f>
        <v/>
      </c>
      <c r="Q46" s="433" t="str">
        <f>IF(ISERROR(VLOOKUP(G46,LoCS!R:T,3,FALSE)),"",VLOOKUP(G46,LoCS!R:T,3,FALSE))</f>
        <v/>
      </c>
      <c r="R46" s="433" t="str">
        <f>IF(ISERROR(IF(I46="NonStandard",VLOOKUP(E46&amp;H46&amp;I46,LoCS!G38:H45,2,FALSE),VLOOKUP(E46&amp;H46,LoCS!G38:H45,2,FALSE))),"",IF(I46="NonStandard",VLOOKUP(E46&amp;H46&amp;I46,LoCS!G38:H45,2,FALSE),VLOOKUP(E46&amp;H46,LoCS!G38:H45,2,FALSE)))</f>
        <v/>
      </c>
      <c r="S46" s="495" t="str">
        <f>IF(ISERROR(VLOOKUP(F46,'2013 Belmont Retail Pricing'!A:B,2,FALSE)),"",VLOOKUP(F46,'2013 Belmont Retail Pricing'!A:B,2,FALSE))</f>
        <v/>
      </c>
      <c r="T46" s="230" t="str">
        <f>IF(ISERROR(VLOOKUP(Config!F46,'2013 Belmont Retail Pricing'!A:C,3,FALSE)),"",VLOOKUP(Config!F46,'2013 Belmont Retail Pricing'!A:C,3,FALSE))</f>
        <v/>
      </c>
      <c r="U46" s="230">
        <f t="shared" si="0"/>
        <v>0</v>
      </c>
      <c r="V46" s="230"/>
      <c r="W46" s="230">
        <f t="shared" si="2"/>
        <v>0</v>
      </c>
      <c r="X46" s="230">
        <f>W46/(1-Y46)</f>
        <v>0</v>
      </c>
      <c r="Y46" s="231">
        <v>0.32</v>
      </c>
      <c r="Z46" s="232" t="e">
        <f>(T46-X46)/T46</f>
        <v>#VALUE!</v>
      </c>
      <c r="AA46" s="233">
        <f t="shared" si="1"/>
        <v>0</v>
      </c>
      <c r="AB46" s="233">
        <f>X46*N46</f>
        <v>0</v>
      </c>
      <c r="AC46" s="243"/>
      <c r="AD46" s="243"/>
      <c r="AE46" s="243"/>
      <c r="AF46" s="243"/>
      <c r="AG46" s="243"/>
      <c r="AH46" s="243"/>
      <c r="AI46" s="243"/>
      <c r="AJ46" s="243"/>
      <c r="AK46" s="243"/>
      <c r="AL46" s="243"/>
      <c r="AM46" s="243"/>
      <c r="AN46" s="243"/>
      <c r="AO46" s="243"/>
      <c r="AP46" s="243"/>
      <c r="AQ46" s="243"/>
      <c r="AR46" s="243"/>
      <c r="AS46" s="243"/>
      <c r="AT46" s="243"/>
      <c r="AU46" s="243"/>
    </row>
    <row r="47" spans="1:47" s="490" customFormat="1" ht="72.75" customHeight="1">
      <c r="A47" s="238" t="b">
        <v>0</v>
      </c>
      <c r="B47" s="237">
        <v>15</v>
      </c>
      <c r="C47" s="240">
        <f>Inputs!$E$27</f>
        <v>0.5</v>
      </c>
      <c r="D47" s="206" t="str">
        <f t="shared" si="3"/>
        <v/>
      </c>
      <c r="E47" s="207"/>
      <c r="F47" s="208"/>
      <c r="G47" s="208"/>
      <c r="H47" s="350"/>
      <c r="I47" s="350"/>
      <c r="J47" s="208"/>
      <c r="K47" s="208"/>
      <c r="L47" s="208"/>
      <c r="M47" s="350"/>
      <c r="N47" s="208"/>
      <c r="O47" s="493" t="str">
        <f>IF(ISERROR(VLOOKUP(K47,'Lists of Products and Options'!A:C,2,FALSE)),"",VLOOKUP(K47,'Lists of Products and Options'!A:C,2,FALSE))</f>
        <v/>
      </c>
      <c r="P47" s="433" t="str">
        <f>IF(ISERROR(VLOOKUP(K47,'Lists of Products and Options'!A:C,3,FALSE)),"",VLOOKUP(K47,'Lists of Products and Options'!A:C,3,FALSE))</f>
        <v/>
      </c>
      <c r="Q47" s="433" t="str">
        <f>IF(ISERROR(VLOOKUP(G47,LoCS!R:T,3,FALSE)),"",VLOOKUP(G47,LoCS!R:T,3,FALSE))</f>
        <v/>
      </c>
      <c r="R47" s="433" t="str">
        <f>IF(ISERROR(IF(I47="NonStandard",VLOOKUP(E47&amp;H47&amp;I47,LoCS!G39:H46,2,FALSE),VLOOKUP(E47&amp;H47,LoCS!G39:H46,2,FALSE))),"",IF(I47="NonStandard",VLOOKUP(E47&amp;H47&amp;I47,LoCS!G39:H46,2,FALSE),VLOOKUP(E47&amp;H47,LoCS!G39:H46,2,FALSE)))</f>
        <v/>
      </c>
      <c r="S47" s="495" t="str">
        <f>IF(ISERROR(VLOOKUP(F47,'2013 Belmont Retail Pricing'!A:B,2,FALSE)),"",VLOOKUP(F47,'2013 Belmont Retail Pricing'!A:B,2,FALSE))</f>
        <v/>
      </c>
      <c r="T47" s="230" t="str">
        <f>IF(ISERROR(VLOOKUP(Config!F47,'2013 Belmont Retail Pricing'!A:C,3,FALSE)),"",VLOOKUP(Config!F47,'2013 Belmont Retail Pricing'!A:C,3,FALSE))</f>
        <v/>
      </c>
      <c r="U47" s="230">
        <f t="shared" si="0"/>
        <v>0</v>
      </c>
      <c r="V47" s="230"/>
      <c r="W47" s="230">
        <f t="shared" si="2"/>
        <v>0</v>
      </c>
      <c r="X47" s="230">
        <f>W47/(1-Y47)</f>
        <v>0</v>
      </c>
      <c r="Y47" s="231">
        <v>0.32</v>
      </c>
      <c r="Z47" s="232" t="e">
        <f>(T47-X47)/T47</f>
        <v>#VALUE!</v>
      </c>
      <c r="AA47" s="233">
        <f t="shared" si="1"/>
        <v>0</v>
      </c>
      <c r="AB47" s="233">
        <f>X47*N47</f>
        <v>0</v>
      </c>
      <c r="AC47" s="243"/>
      <c r="AD47" s="243"/>
      <c r="AE47" s="243"/>
      <c r="AF47" s="243"/>
      <c r="AG47" s="243"/>
      <c r="AH47" s="243"/>
      <c r="AI47" s="243"/>
      <c r="AJ47" s="243"/>
      <c r="AK47" s="243"/>
      <c r="AL47" s="243"/>
      <c r="AM47" s="243"/>
      <c r="AN47" s="243"/>
      <c r="AO47" s="243"/>
      <c r="AP47" s="243"/>
      <c r="AQ47" s="243"/>
      <c r="AR47" s="243"/>
      <c r="AS47" s="243"/>
      <c r="AT47" s="243"/>
      <c r="AU47" s="243"/>
    </row>
    <row r="48" spans="1:47" s="490" customFormat="1" ht="72.75" customHeight="1">
      <c r="A48" s="238" t="b">
        <v>0</v>
      </c>
      <c r="B48" s="237">
        <v>16</v>
      </c>
      <c r="C48" s="240">
        <f>Inputs!$E$27</f>
        <v>0.5</v>
      </c>
      <c r="D48" s="206" t="str">
        <f t="shared" si="3"/>
        <v/>
      </c>
      <c r="E48" s="207"/>
      <c r="F48" s="208"/>
      <c r="G48" s="208"/>
      <c r="H48" s="350"/>
      <c r="I48" s="350"/>
      <c r="J48" s="208"/>
      <c r="K48" s="208"/>
      <c r="L48" s="208"/>
      <c r="M48" s="350"/>
      <c r="N48" s="208"/>
      <c r="O48" s="493" t="str">
        <f>IF(ISERROR(VLOOKUP(K48,'Lists of Products and Options'!A:C,2,FALSE)),"",VLOOKUP(K48,'Lists of Products and Options'!A:C,2,FALSE))</f>
        <v/>
      </c>
      <c r="P48" s="433" t="str">
        <f>IF(ISERROR(VLOOKUP(K48,'Lists of Products and Options'!A:C,3,FALSE)),"",VLOOKUP(K48,'Lists of Products and Options'!A:C,3,FALSE))</f>
        <v/>
      </c>
      <c r="Q48" s="433" t="str">
        <f>IF(ISERROR(VLOOKUP(G48,LoCS!R:T,3,FALSE)),"",VLOOKUP(G48,LoCS!R:T,3,FALSE))</f>
        <v/>
      </c>
      <c r="R48" s="433" t="str">
        <f>IF(ISERROR(IF(I48="NonStandard",VLOOKUP(E48&amp;H48&amp;I48,LoCS!G40:H47,2,FALSE),VLOOKUP(E48&amp;H48,LoCS!G40:H47,2,FALSE))),"",IF(I48="NonStandard",VLOOKUP(E48&amp;H48&amp;I48,LoCS!G40:H47,2,FALSE),VLOOKUP(E48&amp;H48,LoCS!G40:H47,2,FALSE)))</f>
        <v/>
      </c>
      <c r="S48" s="495" t="str">
        <f>IF(ISERROR(VLOOKUP(F48,'2013 Belmont Retail Pricing'!A:B,2,FALSE)),"",VLOOKUP(F48,'2013 Belmont Retail Pricing'!A:B,2,FALSE))</f>
        <v/>
      </c>
      <c r="T48" s="230" t="str">
        <f>IF(ISERROR(VLOOKUP(Config!F48,'2013 Belmont Retail Pricing'!A:C,3,FALSE)),"",VLOOKUP(Config!F48,'2013 Belmont Retail Pricing'!A:C,3,FALSE))</f>
        <v/>
      </c>
      <c r="U48" s="230">
        <f t="shared" si="0"/>
        <v>0</v>
      </c>
      <c r="V48" s="230"/>
      <c r="W48" s="230">
        <f t="shared" si="2"/>
        <v>0</v>
      </c>
      <c r="X48" s="230">
        <f>W48/(1-Y48)</f>
        <v>0</v>
      </c>
      <c r="Y48" s="231">
        <v>0.32</v>
      </c>
      <c r="Z48" s="232" t="e">
        <f>(T48-X48)/T48</f>
        <v>#VALUE!</v>
      </c>
      <c r="AA48" s="233">
        <f t="shared" si="1"/>
        <v>0</v>
      </c>
      <c r="AB48" s="233">
        <f>X48*N48</f>
        <v>0</v>
      </c>
      <c r="AC48" s="243"/>
      <c r="AD48" s="243"/>
      <c r="AE48" s="243"/>
      <c r="AF48" s="243"/>
      <c r="AG48" s="243"/>
      <c r="AH48" s="243"/>
      <c r="AI48" s="243"/>
      <c r="AJ48" s="243"/>
      <c r="AK48" s="243"/>
      <c r="AL48" s="243"/>
      <c r="AM48" s="243"/>
      <c r="AN48" s="243"/>
      <c r="AO48" s="243"/>
      <c r="AP48" s="243"/>
      <c r="AQ48" s="243"/>
      <c r="AR48" s="243"/>
      <c r="AS48" s="243"/>
      <c r="AT48" s="243"/>
      <c r="AU48" s="243"/>
    </row>
    <row r="49" spans="1:47" s="490" customFormat="1" ht="72.75" customHeight="1">
      <c r="A49" s="238"/>
      <c r="B49" s="237">
        <f>B48+1</f>
        <v>17</v>
      </c>
      <c r="C49" s="240">
        <f>Inputs!$E$27</f>
        <v>0.5</v>
      </c>
      <c r="D49" s="206" t="str">
        <f>IF(E49="Parts",40%,"")</f>
        <v/>
      </c>
      <c r="E49" s="207"/>
      <c r="F49" s="208"/>
      <c r="G49" s="208"/>
      <c r="H49" s="350"/>
      <c r="I49" s="350"/>
      <c r="J49" s="208"/>
      <c r="K49" s="208"/>
      <c r="L49" s="208"/>
      <c r="M49" s="350"/>
      <c r="N49" s="208"/>
      <c r="O49" s="493" t="str">
        <f>IF(ISERROR(VLOOKUP(K49,'Lists of Products and Options'!A:C,2,FALSE)),"",VLOOKUP(K49,'Lists of Products and Options'!A:C,2,FALSE))</f>
        <v/>
      </c>
      <c r="P49" s="433" t="str">
        <f>IF(ISERROR(VLOOKUP(K49,'Lists of Products and Options'!A:C,3,FALSE)),"",VLOOKUP(K49,'Lists of Products and Options'!A:C,3,FALSE))</f>
        <v/>
      </c>
      <c r="Q49" s="433" t="str">
        <f>IF(ISERROR(VLOOKUP(G49,LoCS!R:T,3,FALSE)),"",VLOOKUP(G49,LoCS!R:T,3,FALSE))</f>
        <v/>
      </c>
      <c r="R49" s="433" t="str">
        <f>IF(ISERROR(IF(I49="NonStandard",VLOOKUP(E49&amp;H49&amp;I49,LoCS!G41:H48,2,FALSE),VLOOKUP(E49&amp;H49,LoCS!G41:H48,2,FALSE))),"",IF(I49="NonStandard",VLOOKUP(E49&amp;H49&amp;I49,LoCS!G41:H48,2,FALSE),VLOOKUP(E49&amp;H49,LoCS!G41:H48,2,FALSE)))</f>
        <v/>
      </c>
      <c r="S49" s="495" t="str">
        <f>IF(ISERROR(VLOOKUP(F49,'2013 Belmont Retail Pricing'!A:B,2,FALSE)),"",VLOOKUP(F49,'2013 Belmont Retail Pricing'!A:B,2,FALSE))</f>
        <v/>
      </c>
      <c r="T49" s="230" t="str">
        <f>IF(ISERROR(VLOOKUP(Config!F49,'2013 Belmont Retail Pricing'!A:C,3,FALSE)),"",VLOOKUP(Config!F49,'2013 Belmont Retail Pricing'!A:C,3,FALSE))</f>
        <v/>
      </c>
      <c r="U49" s="230">
        <f>SUM(IF(ISERROR(Q49),0,Q49),IF(ISERROR(R49),0,R49),IF(ISERROR(P49),0,P49),IF(ISERROR(T49),0,T49))</f>
        <v>0</v>
      </c>
      <c r="V49" s="230"/>
      <c r="W49" s="230">
        <f>IF(ISERROR((U49*(1-C49))),"",(U49*(1-C49)))</f>
        <v>0</v>
      </c>
      <c r="X49" s="230">
        <f>W49/(1-Y49)</f>
        <v>0</v>
      </c>
      <c r="Y49" s="231">
        <v>0.32</v>
      </c>
      <c r="Z49" s="232" t="e">
        <f>(T49-X49)/T49</f>
        <v>#VALUE!</v>
      </c>
      <c r="AA49" s="233">
        <f>IF(ISERROR(W49*N49),"",W49*N49)</f>
        <v>0</v>
      </c>
      <c r="AB49" s="233">
        <f>X49*N49</f>
        <v>0</v>
      </c>
      <c r="AC49" s="243"/>
      <c r="AD49" s="243"/>
      <c r="AE49" s="243"/>
      <c r="AF49" s="243"/>
      <c r="AG49" s="243"/>
      <c r="AH49" s="243"/>
      <c r="AI49" s="243"/>
      <c r="AJ49" s="243"/>
      <c r="AK49" s="243"/>
      <c r="AL49" s="243"/>
      <c r="AM49" s="243"/>
      <c r="AN49" s="243"/>
      <c r="AO49" s="243"/>
      <c r="AP49" s="243"/>
      <c r="AQ49" s="243"/>
      <c r="AR49" s="243"/>
      <c r="AS49" s="243"/>
      <c r="AT49" s="243"/>
      <c r="AU49" s="243"/>
    </row>
    <row r="50" spans="1:47">
      <c r="C50" s="239"/>
      <c r="D50" s="239"/>
      <c r="E50" s="239"/>
      <c r="F50" s="244" t="s">
        <v>7</v>
      </c>
      <c r="G50" s="244"/>
      <c r="H50" s="244"/>
      <c r="I50" s="244"/>
      <c r="J50" s="244"/>
      <c r="K50" s="244"/>
      <c r="L50" s="244"/>
      <c r="M50" s="244"/>
      <c r="O50" s="436"/>
      <c r="P50" s="436"/>
      <c r="Q50" s="436"/>
      <c r="R50" s="436"/>
      <c r="T50" s="246"/>
      <c r="U50" s="246"/>
      <c r="V50" s="246"/>
      <c r="W50" s="246"/>
      <c r="X50" s="246"/>
      <c r="Y50" s="247"/>
      <c r="Z50" s="248"/>
      <c r="AA50" s="249">
        <f>SUM(AA33:AA48)</f>
        <v>31600</v>
      </c>
      <c r="AB50" s="249"/>
    </row>
    <row r="51" spans="1:47">
      <c r="W51" s="250"/>
      <c r="Y51" s="251"/>
      <c r="Z51" s="252"/>
      <c r="AA51" s="253"/>
      <c r="AB51" s="205"/>
    </row>
    <row r="52" spans="1:47">
      <c r="F52" s="254"/>
      <c r="G52" s="254"/>
      <c r="H52" s="254"/>
      <c r="I52" s="254"/>
      <c r="J52" s="254"/>
      <c r="K52" s="254"/>
      <c r="L52" s="254"/>
      <c r="M52" s="254"/>
      <c r="O52" s="437"/>
      <c r="P52" s="437"/>
      <c r="Q52" s="437"/>
      <c r="R52" s="437"/>
      <c r="W52" s="250"/>
      <c r="Y52" s="251"/>
      <c r="Z52" s="252"/>
      <c r="AA52" s="253"/>
    </row>
    <row r="53" spans="1:47">
      <c r="F53" s="254"/>
      <c r="G53" s="254"/>
      <c r="H53" s="254"/>
      <c r="I53" s="254"/>
      <c r="J53" s="254"/>
      <c r="K53" s="254"/>
      <c r="L53" s="254"/>
      <c r="M53" s="254"/>
      <c r="O53" s="437"/>
      <c r="P53" s="437"/>
      <c r="Q53" s="437"/>
      <c r="R53" s="437"/>
      <c r="W53" s="250"/>
      <c r="Y53" s="251"/>
      <c r="Z53" s="252"/>
      <c r="AA53" s="253"/>
    </row>
    <row r="54" spans="1:47">
      <c r="F54" s="254"/>
      <c r="G54" s="254"/>
      <c r="H54" s="254"/>
      <c r="I54" s="254"/>
      <c r="J54" s="254"/>
      <c r="K54" s="254"/>
      <c r="L54" s="254"/>
      <c r="M54" s="254"/>
      <c r="O54" s="437"/>
      <c r="P54" s="437"/>
      <c r="Q54" s="437"/>
      <c r="R54" s="437"/>
      <c r="W54" s="250"/>
      <c r="Y54" s="251"/>
      <c r="Z54" s="252"/>
      <c r="AA54" s="253"/>
    </row>
    <row r="55" spans="1:47">
      <c r="W55" s="250"/>
      <c r="Y55" s="251"/>
      <c r="Z55" s="252"/>
      <c r="AA55" s="253"/>
    </row>
    <row r="56" spans="1:47">
      <c r="F56" s="255"/>
      <c r="G56" s="255"/>
      <c r="H56" s="255"/>
      <c r="I56" s="255"/>
      <c r="J56" s="255"/>
      <c r="K56" s="255"/>
      <c r="L56" s="255"/>
      <c r="M56" s="255"/>
      <c r="O56" s="438"/>
      <c r="P56" s="438"/>
      <c r="Q56" s="438"/>
      <c r="R56" s="438"/>
      <c r="W56" s="250"/>
      <c r="Y56" s="251"/>
      <c r="Z56" s="252"/>
      <c r="AA56" s="253"/>
    </row>
    <row r="57" spans="1:47">
      <c r="W57" s="250"/>
      <c r="Y57" s="251"/>
      <c r="Z57" s="252"/>
      <c r="AA57" s="253"/>
    </row>
    <row r="58" spans="1:47">
      <c r="W58" s="250"/>
      <c r="Y58" s="251"/>
      <c r="Z58" s="252"/>
      <c r="AA58" s="253"/>
    </row>
    <row r="59" spans="1:47">
      <c r="W59" s="250"/>
      <c r="Y59" s="251"/>
      <c r="Z59" s="252"/>
      <c r="AA59" s="253"/>
    </row>
    <row r="60" spans="1:47">
      <c r="W60" s="250"/>
      <c r="Y60" s="251"/>
      <c r="Z60" s="252"/>
      <c r="AA60" s="253"/>
    </row>
    <row r="104" spans="5:5">
      <c r="E104" s="214" t="s">
        <v>2071</v>
      </c>
    </row>
  </sheetData>
  <protectedRanges>
    <protectedRange password="E6CC" sqref="A1:XFD1048576" name="Equipment Orders"/>
  </protectedRanges>
  <dataConsolidate/>
  <mergeCells count="2">
    <mergeCell ref="G31:N31"/>
    <mergeCell ref="C31:D31"/>
  </mergeCells>
  <phoneticPr fontId="3" type="noConversion"/>
  <conditionalFormatting sqref="D33:D48 D50">
    <cfRule type="cellIs" dxfId="110" priority="1430" operator="equal">
      <formula>0.4</formula>
    </cfRule>
  </conditionalFormatting>
  <conditionalFormatting sqref="C33:C48">
    <cfRule type="expression" dxfId="109" priority="1429">
      <formula>D33&lt;&gt;40%</formula>
    </cfRule>
  </conditionalFormatting>
  <conditionalFormatting sqref="C31">
    <cfRule type="expression" dxfId="108" priority="1428">
      <formula>D31&lt;&gt;40%</formula>
    </cfRule>
  </conditionalFormatting>
  <conditionalFormatting sqref="C50">
    <cfRule type="cellIs" dxfId="107" priority="1425" operator="equal">
      <formula>0.4</formula>
    </cfRule>
  </conditionalFormatting>
  <conditionalFormatting sqref="C33:C48">
    <cfRule type="expression" dxfId="106" priority="1423">
      <formula>D33=40%</formula>
    </cfRule>
  </conditionalFormatting>
  <conditionalFormatting sqref="D49">
    <cfRule type="cellIs" dxfId="105" priority="1029" operator="equal">
      <formula>0.4</formula>
    </cfRule>
  </conditionalFormatting>
  <conditionalFormatting sqref="C49">
    <cfRule type="expression" dxfId="104" priority="1028">
      <formula>D49&lt;&gt;40%</formula>
    </cfRule>
  </conditionalFormatting>
  <conditionalFormatting sqref="C49">
    <cfRule type="expression" dxfId="103" priority="1027">
      <formula>D49=40%</formula>
    </cfRule>
  </conditionalFormatting>
  <conditionalFormatting sqref="G26">
    <cfRule type="expression" dxfId="102" priority="981">
      <formula>E26&lt;&gt;"Chairs"</formula>
    </cfRule>
  </conditionalFormatting>
  <conditionalFormatting sqref="J26">
    <cfRule type="expression" dxfId="101" priority="980">
      <formula>E26&lt;&gt;"Cabinet"</formula>
    </cfRule>
  </conditionalFormatting>
  <conditionalFormatting sqref="L26:M26">
    <cfRule type="expression" dxfId="100" priority="979">
      <formula>E26&lt;&gt;"Cabinet"</formula>
    </cfRule>
  </conditionalFormatting>
  <conditionalFormatting sqref="G27">
    <cfRule type="expression" dxfId="99" priority="984">
      <formula>E27&lt;&gt;"Chairs"</formula>
    </cfRule>
  </conditionalFormatting>
  <conditionalFormatting sqref="J27">
    <cfRule type="expression" dxfId="98" priority="983">
      <formula>E27&lt;&gt;"Cabinet"</formula>
    </cfRule>
  </conditionalFormatting>
  <conditionalFormatting sqref="L27:M27">
    <cfRule type="expression" dxfId="97" priority="982">
      <formula>E27&lt;&gt;"Cabinet"</formula>
    </cfRule>
  </conditionalFormatting>
  <conditionalFormatting sqref="L35">
    <cfRule type="expression" dxfId="96" priority="174">
      <formula>E35&lt;&gt;"Cabinet"</formula>
    </cfRule>
  </conditionalFormatting>
  <conditionalFormatting sqref="L35">
    <cfRule type="expression" dxfId="95" priority="171">
      <formula>E35&lt;&gt;"Cabinet"</formula>
    </cfRule>
  </conditionalFormatting>
  <conditionalFormatting sqref="J35">
    <cfRule type="expression" dxfId="94" priority="169">
      <formula>E35&lt;&gt;"Cabinet"</formula>
    </cfRule>
  </conditionalFormatting>
  <conditionalFormatting sqref="I35">
    <cfRule type="expression" dxfId="93" priority="168">
      <formula>OR( IFERROR(FIND("Chairs",$E35),0) &gt; 0, IFERROR(FIND("Stools",$E35),0),IFERROR(FIND("Cabinet",$E35),0) &gt; 0 )</formula>
    </cfRule>
  </conditionalFormatting>
  <conditionalFormatting sqref="L48">
    <cfRule type="expression" dxfId="92" priority="139">
      <formula>E48&lt;&gt;"Cabinet"</formula>
    </cfRule>
  </conditionalFormatting>
  <conditionalFormatting sqref="H48">
    <cfRule type="expression" dxfId="91" priority="137">
      <formula>OR( IFERROR(FIND("Chairs",$E48),0) &gt; 0, IFERROR(FIND("Stools",$E48),0),IFERROR(FIND("Cabinet",$E48),0) &gt; 0 )</formula>
    </cfRule>
  </conditionalFormatting>
  <conditionalFormatting sqref="L48">
    <cfRule type="expression" dxfId="90" priority="136">
      <formula>E48&lt;&gt;"Cabinet"</formula>
    </cfRule>
  </conditionalFormatting>
  <conditionalFormatting sqref="G48">
    <cfRule type="expression" dxfId="89" priority="135">
      <formula>E48&lt;&gt;"Chairs"</formula>
    </cfRule>
  </conditionalFormatting>
  <conditionalFormatting sqref="J48">
    <cfRule type="expression" dxfId="88" priority="134">
      <formula>E48&lt;&gt;"Cabinet"</formula>
    </cfRule>
  </conditionalFormatting>
  <conditionalFormatting sqref="I48">
    <cfRule type="expression" dxfId="87" priority="133">
      <formula>OR( IFERROR(FIND("Chairs",$E48),0) &gt; 0, IFERROR(FIND("Stools",$E48),0),IFERROR(FIND("Cabinet",$E48),0) &gt; 0 )</formula>
    </cfRule>
  </conditionalFormatting>
  <conditionalFormatting sqref="L49">
    <cfRule type="expression" dxfId="86" priority="132">
      <formula>E49&lt;&gt;"Cabinet"</formula>
    </cfRule>
  </conditionalFormatting>
  <conditionalFormatting sqref="H49">
    <cfRule type="expression" dxfId="85" priority="130">
      <formula>OR( IFERROR(FIND("Chairs",$E49),0) &gt; 0, IFERROR(FIND("Stools",$E49),0),IFERROR(FIND("Cabinet",$E49),0) &gt; 0 )</formula>
    </cfRule>
  </conditionalFormatting>
  <conditionalFormatting sqref="L49">
    <cfRule type="expression" dxfId="84" priority="129">
      <formula>E49&lt;&gt;"Cabinet"</formula>
    </cfRule>
  </conditionalFormatting>
  <conditionalFormatting sqref="G49">
    <cfRule type="expression" dxfId="83" priority="128">
      <formula>E49&lt;&gt;"Chairs"</formula>
    </cfRule>
  </conditionalFormatting>
  <conditionalFormatting sqref="J49">
    <cfRule type="expression" dxfId="82" priority="127">
      <formula>E49&lt;&gt;"Cabinet"</formula>
    </cfRule>
  </conditionalFormatting>
  <conditionalFormatting sqref="I49">
    <cfRule type="expression" dxfId="81" priority="126">
      <formula>OR( IFERROR(FIND("Chairs",$E49),0) &gt; 0, IFERROR(FIND("Stools",$E49),0),IFERROR(FIND("Cabinet",$E49),0) &gt; 0 )</formula>
    </cfRule>
  </conditionalFormatting>
  <conditionalFormatting sqref="L47">
    <cfRule type="expression" dxfId="80" priority="125">
      <formula>E47&lt;&gt;"Cabinet"</formula>
    </cfRule>
  </conditionalFormatting>
  <conditionalFormatting sqref="H47">
    <cfRule type="expression" dxfId="79" priority="123">
      <formula>OR( IFERROR(FIND("Chairs",$E47),0) &gt; 0, IFERROR(FIND("Stools",$E47),0),IFERROR(FIND("Cabinet",$E47),0) &gt; 0 )</formula>
    </cfRule>
  </conditionalFormatting>
  <conditionalFormatting sqref="L47">
    <cfRule type="expression" dxfId="78" priority="122">
      <formula>E47&lt;&gt;"Cabinet"</formula>
    </cfRule>
  </conditionalFormatting>
  <conditionalFormatting sqref="G47">
    <cfRule type="expression" dxfId="77" priority="121">
      <formula>E47&lt;&gt;"Chairs"</formula>
    </cfRule>
  </conditionalFormatting>
  <conditionalFormatting sqref="J47">
    <cfRule type="expression" dxfId="76" priority="120">
      <formula>E47&lt;&gt;"Cabinet"</formula>
    </cfRule>
  </conditionalFormatting>
  <conditionalFormatting sqref="I47">
    <cfRule type="expression" dxfId="75" priority="119">
      <formula>OR( IFERROR(FIND("Chairs",$E47),0) &gt; 0, IFERROR(FIND("Stools",$E47),0),IFERROR(FIND("Cabinet",$E47),0) &gt; 0 )</formula>
    </cfRule>
  </conditionalFormatting>
  <conditionalFormatting sqref="L46">
    <cfRule type="expression" dxfId="74" priority="118">
      <formula>E46&lt;&gt;"Cabinet"</formula>
    </cfRule>
  </conditionalFormatting>
  <conditionalFormatting sqref="H46">
    <cfRule type="expression" dxfId="73" priority="116">
      <formula>OR( IFERROR(FIND("Chairs",$E46),0) &gt; 0, IFERROR(FIND("Stools",$E46),0),IFERROR(FIND("Cabinet",$E46),0) &gt; 0 )</formula>
    </cfRule>
  </conditionalFormatting>
  <conditionalFormatting sqref="L46">
    <cfRule type="expression" dxfId="72" priority="115">
      <formula>E46&lt;&gt;"Cabinet"</formula>
    </cfRule>
  </conditionalFormatting>
  <conditionalFormatting sqref="G46">
    <cfRule type="expression" dxfId="71" priority="114">
      <formula>E46&lt;&gt;"Chairs"</formula>
    </cfRule>
  </conditionalFormatting>
  <conditionalFormatting sqref="J46">
    <cfRule type="expression" dxfId="70" priority="113">
      <formula>E46&lt;&gt;"Cabinet"</formula>
    </cfRule>
  </conditionalFormatting>
  <conditionalFormatting sqref="I46">
    <cfRule type="expression" dxfId="69" priority="112">
      <formula>OR( IFERROR(FIND("Chairs",$E46),0) &gt; 0, IFERROR(FIND("Stools",$E46),0),IFERROR(FIND("Cabinet",$E46),0) &gt; 0 )</formula>
    </cfRule>
  </conditionalFormatting>
  <conditionalFormatting sqref="L45">
    <cfRule type="expression" dxfId="68" priority="111">
      <formula>E45&lt;&gt;"Cabinet"</formula>
    </cfRule>
  </conditionalFormatting>
  <conditionalFormatting sqref="H45">
    <cfRule type="expression" dxfId="67" priority="109">
      <formula>OR( IFERROR(FIND("Chairs",$E45),0) &gt; 0, IFERROR(FIND("Stools",$E45),0),IFERROR(FIND("Cabinet",$E45),0) &gt; 0 )</formula>
    </cfRule>
  </conditionalFormatting>
  <conditionalFormatting sqref="L45">
    <cfRule type="expression" dxfId="66" priority="108">
      <formula>E45&lt;&gt;"Cabinet"</formula>
    </cfRule>
  </conditionalFormatting>
  <conditionalFormatting sqref="G45">
    <cfRule type="expression" dxfId="65" priority="107">
      <formula>E45&lt;&gt;"Chairs"</formula>
    </cfRule>
  </conditionalFormatting>
  <conditionalFormatting sqref="J45">
    <cfRule type="expression" dxfId="64" priority="106">
      <formula>E45&lt;&gt;"Cabinet"</formula>
    </cfRule>
  </conditionalFormatting>
  <conditionalFormatting sqref="I45">
    <cfRule type="expression" dxfId="63" priority="105">
      <formula>OR( IFERROR(FIND("Chairs",$E45),0) &gt; 0, IFERROR(FIND("Stools",$E45),0),IFERROR(FIND("Cabinet",$E45),0) &gt; 0 )</formula>
    </cfRule>
  </conditionalFormatting>
  <conditionalFormatting sqref="L44">
    <cfRule type="expression" dxfId="62" priority="104">
      <formula>E44&lt;&gt;"Cabinet"</formula>
    </cfRule>
  </conditionalFormatting>
  <conditionalFormatting sqref="H44">
    <cfRule type="expression" dxfId="61" priority="102">
      <formula>OR( IFERROR(FIND("Chairs",$E44),0) &gt; 0, IFERROR(FIND("Stools",$E44),0),IFERROR(FIND("Cabinet",$E44),0) &gt; 0 )</formula>
    </cfRule>
  </conditionalFormatting>
  <conditionalFormatting sqref="L44">
    <cfRule type="expression" dxfId="60" priority="101">
      <formula>E44&lt;&gt;"Cabinet"</formula>
    </cfRule>
  </conditionalFormatting>
  <conditionalFormatting sqref="G44">
    <cfRule type="expression" dxfId="59" priority="100">
      <formula>E44&lt;&gt;"Chairs"</formula>
    </cfRule>
  </conditionalFormatting>
  <conditionalFormatting sqref="J44">
    <cfRule type="expression" dxfId="58" priority="99">
      <formula>E44&lt;&gt;"Cabinet"</formula>
    </cfRule>
  </conditionalFormatting>
  <conditionalFormatting sqref="I44">
    <cfRule type="expression" dxfId="57" priority="98">
      <formula>OR( IFERROR(FIND("Chairs",$E44),0) &gt; 0, IFERROR(FIND("Stools",$E44),0),IFERROR(FIND("Cabinet",$E44),0) &gt; 0 )</formula>
    </cfRule>
  </conditionalFormatting>
  <conditionalFormatting sqref="L43">
    <cfRule type="expression" dxfId="56" priority="97">
      <formula>E43&lt;&gt;"Cabinet"</formula>
    </cfRule>
  </conditionalFormatting>
  <conditionalFormatting sqref="H43">
    <cfRule type="expression" dxfId="55" priority="95">
      <formula>OR( IFERROR(FIND("Chairs",$E43),0) &gt; 0, IFERROR(FIND("Stools",$E43),0),IFERROR(FIND("Cabinet",$E43),0) &gt; 0 )</formula>
    </cfRule>
  </conditionalFormatting>
  <conditionalFormatting sqref="L43">
    <cfRule type="expression" dxfId="54" priority="94">
      <formula>E43&lt;&gt;"Cabinet"</formula>
    </cfRule>
  </conditionalFormatting>
  <conditionalFormatting sqref="G43">
    <cfRule type="expression" dxfId="53" priority="93">
      <formula>E43&lt;&gt;"Chairs"</formula>
    </cfRule>
  </conditionalFormatting>
  <conditionalFormatting sqref="J43">
    <cfRule type="expression" dxfId="52" priority="92">
      <formula>E43&lt;&gt;"Cabinet"</formula>
    </cfRule>
  </conditionalFormatting>
  <conditionalFormatting sqref="I43">
    <cfRule type="expression" dxfId="51" priority="91">
      <formula>OR( IFERROR(FIND("Chairs",$E43),0) &gt; 0, IFERROR(FIND("Stools",$E43),0),IFERROR(FIND("Cabinet",$E43),0) &gt; 0 )</formula>
    </cfRule>
  </conditionalFormatting>
  <conditionalFormatting sqref="L42">
    <cfRule type="expression" dxfId="50" priority="90">
      <formula>E42&lt;&gt;"Cabinet"</formula>
    </cfRule>
  </conditionalFormatting>
  <conditionalFormatting sqref="H42">
    <cfRule type="expression" dxfId="49" priority="88">
      <formula>OR( IFERROR(FIND("Chairs",$E42),0) &gt; 0, IFERROR(FIND("Stools",$E42),0),IFERROR(FIND("Cabinet",$E42),0) &gt; 0 )</formula>
    </cfRule>
  </conditionalFormatting>
  <conditionalFormatting sqref="L42">
    <cfRule type="expression" dxfId="48" priority="87">
      <formula>E42&lt;&gt;"Cabinet"</formula>
    </cfRule>
  </conditionalFormatting>
  <conditionalFormatting sqref="G42">
    <cfRule type="expression" dxfId="47" priority="86">
      <formula>E42&lt;&gt;"Chairs"</formula>
    </cfRule>
  </conditionalFormatting>
  <conditionalFormatting sqref="J42">
    <cfRule type="expression" dxfId="46" priority="85">
      <formula>E42&lt;&gt;"Cabinet"</formula>
    </cfRule>
  </conditionalFormatting>
  <conditionalFormatting sqref="I42">
    <cfRule type="expression" dxfId="45" priority="84">
      <formula>OR( IFERROR(FIND("Chairs",$E42),0) &gt; 0, IFERROR(FIND("Stools",$E42),0),IFERROR(FIND("Cabinet",$E42),0) &gt; 0 )</formula>
    </cfRule>
  </conditionalFormatting>
  <conditionalFormatting sqref="L41">
    <cfRule type="expression" dxfId="44" priority="83">
      <formula>E41&lt;&gt;"Cabinet"</formula>
    </cfRule>
  </conditionalFormatting>
  <conditionalFormatting sqref="H41">
    <cfRule type="expression" dxfId="43" priority="81">
      <formula>OR( IFERROR(FIND("Chairs",$E41),0) &gt; 0, IFERROR(FIND("Stools",$E41),0),IFERROR(FIND("Cabinet",$E41),0) &gt; 0 )</formula>
    </cfRule>
  </conditionalFormatting>
  <conditionalFormatting sqref="L41">
    <cfRule type="expression" dxfId="42" priority="80">
      <formula>E41&lt;&gt;"Cabinet"</formula>
    </cfRule>
  </conditionalFormatting>
  <conditionalFormatting sqref="G41">
    <cfRule type="expression" dxfId="41" priority="79">
      <formula>E41&lt;&gt;"Chairs"</formula>
    </cfRule>
  </conditionalFormatting>
  <conditionalFormatting sqref="J41">
    <cfRule type="expression" dxfId="40" priority="78">
      <formula>E41&lt;&gt;"Cabinet"</formula>
    </cfRule>
  </conditionalFormatting>
  <conditionalFormatting sqref="I41">
    <cfRule type="expression" dxfId="39" priority="77">
      <formula>OR( IFERROR(FIND("Chairs",$E41),0) &gt; 0, IFERROR(FIND("Stools",$E41),0),IFERROR(FIND("Cabinet",$E41),0) &gt; 0 )</formula>
    </cfRule>
  </conditionalFormatting>
  <conditionalFormatting sqref="L40">
    <cfRule type="expression" dxfId="38" priority="76">
      <formula>E40&lt;&gt;"Cabinet"</formula>
    </cfRule>
  </conditionalFormatting>
  <conditionalFormatting sqref="H40">
    <cfRule type="expression" dxfId="37" priority="74">
      <formula>OR( IFERROR(FIND("Chairs",$E40),0) &gt; 0, IFERROR(FIND("Stools",$E40),0),IFERROR(FIND("Cabinet",$E40),0) &gt; 0 )</formula>
    </cfRule>
  </conditionalFormatting>
  <conditionalFormatting sqref="L40">
    <cfRule type="expression" dxfId="36" priority="73">
      <formula>E40&lt;&gt;"Cabinet"</formula>
    </cfRule>
  </conditionalFormatting>
  <conditionalFormatting sqref="G40">
    <cfRule type="expression" dxfId="35" priority="72">
      <formula>E40&lt;&gt;"Chairs"</formula>
    </cfRule>
  </conditionalFormatting>
  <conditionalFormatting sqref="J40">
    <cfRule type="expression" dxfId="34" priority="71">
      <formula>E40&lt;&gt;"Cabinet"</formula>
    </cfRule>
  </conditionalFormatting>
  <conditionalFormatting sqref="I40">
    <cfRule type="expression" dxfId="33" priority="70">
      <formula>OR( IFERROR(FIND("Chairs",$E40),0) &gt; 0, IFERROR(FIND("Stools",$E40),0),IFERROR(FIND("Cabinet",$E40),0) &gt; 0 )</formula>
    </cfRule>
  </conditionalFormatting>
  <conditionalFormatting sqref="L39">
    <cfRule type="expression" dxfId="32" priority="69">
      <formula>E39&lt;&gt;"Cabinet"</formula>
    </cfRule>
  </conditionalFormatting>
  <conditionalFormatting sqref="H39">
    <cfRule type="expression" dxfId="31" priority="67">
      <formula>OR( IFERROR(FIND("Chairs",$E39),0) &gt; 0, IFERROR(FIND("Stools",$E39),0),IFERROR(FIND("Cabinet",$E39),0) &gt; 0 )</formula>
    </cfRule>
  </conditionalFormatting>
  <conditionalFormatting sqref="L39">
    <cfRule type="expression" dxfId="30" priority="66">
      <formula>E39&lt;&gt;"Cabinet"</formula>
    </cfRule>
  </conditionalFormatting>
  <conditionalFormatting sqref="G39">
    <cfRule type="expression" dxfId="29" priority="65">
      <formula>E39&lt;&gt;"Chairs"</formula>
    </cfRule>
  </conditionalFormatting>
  <conditionalFormatting sqref="J39">
    <cfRule type="expression" dxfId="28" priority="64">
      <formula>E39&lt;&gt;"Cabinet"</formula>
    </cfRule>
  </conditionalFormatting>
  <conditionalFormatting sqref="I39">
    <cfRule type="expression" dxfId="27" priority="63">
      <formula>OR( IFERROR(FIND("Chairs",$E39),0) &gt; 0, IFERROR(FIND("Stools",$E39),0),IFERROR(FIND("Cabinet",$E39),0) &gt; 0 )</formula>
    </cfRule>
  </conditionalFormatting>
  <conditionalFormatting sqref="L38">
    <cfRule type="expression" dxfId="26" priority="62">
      <formula>E38&lt;&gt;"Cabinet"</formula>
    </cfRule>
  </conditionalFormatting>
  <conditionalFormatting sqref="H38">
    <cfRule type="expression" dxfId="25" priority="60">
      <formula>OR( IFERROR(FIND("Chairs",$E38),0) &gt; 0, IFERROR(FIND("Stools",$E38),0),IFERROR(FIND("Cabinet",$E38),0) &gt; 0 )</formula>
    </cfRule>
  </conditionalFormatting>
  <conditionalFormatting sqref="L38">
    <cfRule type="expression" dxfId="24" priority="59">
      <formula>E38&lt;&gt;"Cabinet"</formula>
    </cfRule>
  </conditionalFormatting>
  <conditionalFormatting sqref="G38">
    <cfRule type="expression" dxfId="23" priority="58">
      <formula>E38&lt;&gt;"Chairs"</formula>
    </cfRule>
  </conditionalFormatting>
  <conditionalFormatting sqref="J38">
    <cfRule type="expression" dxfId="22" priority="57">
      <formula>E38&lt;&gt;"Cabinet"</formula>
    </cfRule>
  </conditionalFormatting>
  <conditionalFormatting sqref="I38">
    <cfRule type="expression" dxfId="21" priority="56">
      <formula>OR( IFERROR(FIND("Chairs",$E38),0) &gt; 0, IFERROR(FIND("Stools",$E38),0),IFERROR(FIND("Cabinet",$E38),0) &gt; 0 )</formula>
    </cfRule>
  </conditionalFormatting>
  <conditionalFormatting sqref="L37">
    <cfRule type="expression" dxfId="20" priority="55">
      <formula>E37&lt;&gt;"Cabinet"</formula>
    </cfRule>
  </conditionalFormatting>
  <conditionalFormatting sqref="H37">
    <cfRule type="expression" dxfId="19" priority="53">
      <formula>OR( IFERROR(FIND("Chairs",$E37),0) &gt; 0, IFERROR(FIND("Stools",$E37),0),IFERROR(FIND("Cabinet",$E37),0) &gt; 0 )</formula>
    </cfRule>
  </conditionalFormatting>
  <conditionalFormatting sqref="L37">
    <cfRule type="expression" dxfId="18" priority="52">
      <formula>E37&lt;&gt;"Cabinet"</formula>
    </cfRule>
  </conditionalFormatting>
  <conditionalFormatting sqref="G37">
    <cfRule type="expression" dxfId="17" priority="51">
      <formula>E37&lt;&gt;"Chairs"</formula>
    </cfRule>
  </conditionalFormatting>
  <conditionalFormatting sqref="J37">
    <cfRule type="expression" dxfId="16" priority="50">
      <formula>E37&lt;&gt;"Cabinet"</formula>
    </cfRule>
  </conditionalFormatting>
  <conditionalFormatting sqref="I37">
    <cfRule type="expression" dxfId="15" priority="49">
      <formula>OR( IFERROR(FIND("Chairs",$E37),0) &gt; 0, IFERROR(FIND("Stools",$E37),0),IFERROR(FIND("Cabinet",$E37),0) &gt; 0 )</formula>
    </cfRule>
  </conditionalFormatting>
  <conditionalFormatting sqref="L36">
    <cfRule type="expression" dxfId="14" priority="48">
      <formula>E36&lt;&gt;"Cabinet"</formula>
    </cfRule>
  </conditionalFormatting>
  <conditionalFormatting sqref="L36">
    <cfRule type="expression" dxfId="13" priority="45">
      <formula>E36&lt;&gt;"Cabinet"</formula>
    </cfRule>
  </conditionalFormatting>
  <conditionalFormatting sqref="J36">
    <cfRule type="expression" dxfId="12" priority="43">
      <formula>E36&lt;&gt;"Cabinet"</formula>
    </cfRule>
  </conditionalFormatting>
  <conditionalFormatting sqref="I36">
    <cfRule type="expression" dxfId="11" priority="42">
      <formula>OR( IFERROR(FIND("Chairs",$E36),0) &gt; 0, IFERROR(FIND("Stools",$E36),0),IFERROR(FIND("Cabinet",$E36),0) &gt; 0 )</formula>
    </cfRule>
  </conditionalFormatting>
  <conditionalFormatting sqref="L33">
    <cfRule type="expression" dxfId="10" priority="34">
      <formula>E33&lt;&gt;"Cabinet"</formula>
    </cfRule>
  </conditionalFormatting>
  <conditionalFormatting sqref="H33:H36">
    <cfRule type="expression" dxfId="9" priority="32">
      <formula>OR( IFERROR(FIND("Chairs",$E33),0) &gt; 0, IFERROR(FIND("Stools",$E33),0),IFERROR(FIND("Cabinet",$E33),0) &gt; 0 )</formula>
    </cfRule>
  </conditionalFormatting>
  <conditionalFormatting sqref="L33">
    <cfRule type="expression" dxfId="8" priority="31">
      <formula>E33&lt;&gt;"Cabinet"</formula>
    </cfRule>
  </conditionalFormatting>
  <conditionalFormatting sqref="G33:G36">
    <cfRule type="expression" dxfId="7" priority="30">
      <formula>E33&lt;&gt;"Chairs"</formula>
    </cfRule>
  </conditionalFormatting>
  <conditionalFormatting sqref="J33">
    <cfRule type="expression" dxfId="6" priority="29">
      <formula>E33&lt;&gt;"Cabinet"</formula>
    </cfRule>
  </conditionalFormatting>
  <conditionalFormatting sqref="I33">
    <cfRule type="expression" dxfId="5" priority="28">
      <formula>OR( IFERROR(FIND("Chairs",$E33),0) &gt; 0, IFERROR(FIND("Stools",$E33),0),IFERROR(FIND("Cabinet",$E33),0) &gt; 0 )</formula>
    </cfRule>
  </conditionalFormatting>
  <conditionalFormatting sqref="M33:M49">
    <cfRule type="expression" dxfId="4" priority="33">
      <formula>OR( IFERROR(FIND("Units",$E33),0) &gt; 0, IFERROR(FIND("Lights",$E33),0))</formula>
    </cfRule>
  </conditionalFormatting>
  <conditionalFormatting sqref="L34">
    <cfRule type="expression" dxfId="3" priority="27">
      <formula>E34&lt;&gt;"Cabinet"</formula>
    </cfRule>
  </conditionalFormatting>
  <conditionalFormatting sqref="L34">
    <cfRule type="expression" dxfId="2" priority="25">
      <formula>E34&lt;&gt;"Cabinet"</formula>
    </cfRule>
  </conditionalFormatting>
  <conditionalFormatting sqref="J34">
    <cfRule type="expression" dxfId="1" priority="23">
      <formula>E34&lt;&gt;"Cabinet"</formula>
    </cfRule>
  </conditionalFormatting>
  <conditionalFormatting sqref="I34">
    <cfRule type="expression" dxfId="0" priority="22">
      <formula>OR( IFERROR(FIND("Chairs",$E34),0) &gt; 0, IFERROR(FIND("Stools",$E34),0),IFERROR(FIND("Cabinet",$E34),0) &gt; 0 )</formula>
    </cfRule>
  </conditionalFormatting>
  <dataValidations count="9">
    <dataValidation type="whole" allowBlank="1" showInputMessage="1" showErrorMessage="1" sqref="N26:N27 N33:N49">
      <formula1>1</formula1>
      <formula2>10000</formula2>
    </dataValidation>
    <dataValidation type="list" allowBlank="1" showInputMessage="1" showErrorMessage="1" sqref="G26:G27 G33:G49">
      <formula1>IF($E26="Chairs",IF(ISNUMBER(VALUE(LEFT($F$33,1))),INDIRECT(SUBSTITUTE(F26,"0","_")),INDIRECT(SUBSTITUTE($F26,"-","_"))),"")</formula1>
    </dataValidation>
    <dataValidation type="list" allowBlank="1" showInputMessage="1" showErrorMessage="1" sqref="J26:J27 J33:J49">
      <formula1>INDIRECT($E26&amp;"pvc")</formula1>
    </dataValidation>
    <dataValidation type="list" allowBlank="1" showInputMessage="1" showErrorMessage="1" sqref="F26:F27 F33:F49">
      <formula1>INDIRECT($E26)</formula1>
    </dataValidation>
    <dataValidation type="list" allowBlank="1" showInputMessage="1" showErrorMessage="1" sqref="I26:I27 I33:I49">
      <formula1>INDIRECT($H26)</formula1>
    </dataValidation>
    <dataValidation type="list" allowBlank="1" showInputMessage="1" showErrorMessage="1" sqref="K26:K27 K33:K49">
      <formula1>IF(ISNUMBER(VALUE(LEFT(F26))),INDIRECT(SUBSTITUTE(SUBSTITUTE(SUBSTITUTE(F26,"0","_"),"1","R"),"3","G")&amp;"OptionsPart"),INDIRECT(SUBSTITUTE(F26,"-","_")&amp;"OptionsPart",1))</formula1>
    </dataValidation>
    <dataValidation type="list" allowBlank="1" showInputMessage="1" showErrorMessage="1" sqref="L26:M27">
      <formula1>IF(ISERROR(SEARCH("Hausys",O26)),"",INDIRECT("Hausys"))</formula1>
    </dataValidation>
    <dataValidation type="list" allowBlank="1" showInputMessage="1" showErrorMessage="1" sqref="L33:L49">
      <formula1>IF(ISERROR(SEARCH("Hausys",O33)),IF(ISERROR(SEARCH("Cambria",O33)),IF($E33="Cabinet",INDIRECT("Laminate")),INDIRECT("Cambria")),INDIRECT("Hausys"))</formula1>
    </dataValidation>
    <dataValidation type="list" allowBlank="1" showInputMessage="1" showErrorMessage="1" sqref="M33:M49">
      <formula1>IF($E33="Lights",INDIRECT(SUBSTITUTE($F33,"-","_")),IF($E33="Units",INDIRECT(SUBSTITUTE($F33,"-","_")),""))</formula1>
    </dataValidation>
  </dataValidations>
  <pageMargins left="0.7" right="0.7" top="0.75" bottom="0.75" header="0.3" footer="0.3"/>
  <pageSetup paperSize="3" scale="39" orientation="landscape" r:id="rId1"/>
  <ignoredErrors>
    <ignoredError sqref="X3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EliminateCheckedEntries">
                <anchor moveWithCells="1" sizeWithCells="1">
                  <from>
                    <xdr:col>0</xdr:col>
                    <xdr:colOff>28575</xdr:colOff>
                    <xdr:row>29</xdr:row>
                    <xdr:rowOff>28575</xdr:rowOff>
                  </from>
                  <to>
                    <xdr:col>1</xdr:col>
                    <xdr:colOff>0</xdr:colOff>
                    <xdr:row>30</xdr:row>
                    <xdr:rowOff>0</xdr:rowOff>
                  </to>
                </anchor>
              </controlPr>
            </control>
          </mc:Choice>
        </mc:AlternateContent>
        <mc:AlternateContent xmlns:mc="http://schemas.openxmlformats.org/markup-compatibility/2006">
          <mc:Choice Requires="x14">
            <control shapeId="2062" r:id="rId5" name="Check Box 14">
              <controlPr defaultSize="0" print="0" autoFill="0" autoLine="0" autoPict="0" macro="[0]!Gatsby">
                <anchor moveWithCells="1">
                  <from>
                    <xdr:col>0</xdr:col>
                    <xdr:colOff>0</xdr:colOff>
                    <xdr:row>31</xdr:row>
                    <xdr:rowOff>0</xdr:rowOff>
                  </from>
                  <to>
                    <xdr:col>0</xdr:col>
                    <xdr:colOff>942975</xdr:colOff>
                    <xdr:row>31</xdr:row>
                    <xdr:rowOff>1000125</xdr:rowOff>
                  </to>
                </anchor>
              </controlPr>
            </control>
          </mc:Choice>
        </mc:AlternateContent>
        <mc:AlternateContent xmlns:mc="http://schemas.openxmlformats.org/markup-compatibility/2006">
          <mc:Choice Requires="x14">
            <control shapeId="2063" r:id="rId6" name="Check Box 15">
              <controlPr defaultSize="0" print="0" autoFill="0" autoLine="0" autoPict="0" macro="[0]!CheckBox15_Click">
                <anchor moveWithCells="1">
                  <from>
                    <xdr:col>0</xdr:col>
                    <xdr:colOff>0</xdr:colOff>
                    <xdr:row>32</xdr:row>
                    <xdr:rowOff>0</xdr:rowOff>
                  </from>
                  <to>
                    <xdr:col>0</xdr:col>
                    <xdr:colOff>981075</xdr:colOff>
                    <xdr:row>32</xdr:row>
                    <xdr:rowOff>942975</xdr:rowOff>
                  </to>
                </anchor>
              </controlPr>
            </control>
          </mc:Choice>
        </mc:AlternateContent>
        <mc:AlternateContent xmlns:mc="http://schemas.openxmlformats.org/markup-compatibility/2006">
          <mc:Choice Requires="x14">
            <control shapeId="2064" r:id="rId7" name="Check Box 16">
              <controlPr defaultSize="0" print="0" autoFill="0" autoLine="0" autoPict="0">
                <anchor moveWithCells="1">
                  <from>
                    <xdr:col>0</xdr:col>
                    <xdr:colOff>0</xdr:colOff>
                    <xdr:row>33</xdr:row>
                    <xdr:rowOff>0</xdr:rowOff>
                  </from>
                  <to>
                    <xdr:col>1</xdr:col>
                    <xdr:colOff>0</xdr:colOff>
                    <xdr:row>33</xdr:row>
                    <xdr:rowOff>923925</xdr:rowOff>
                  </to>
                </anchor>
              </controlPr>
            </control>
          </mc:Choice>
        </mc:AlternateContent>
        <mc:AlternateContent xmlns:mc="http://schemas.openxmlformats.org/markup-compatibility/2006">
          <mc:Choice Requires="x14">
            <control shapeId="2065" r:id="rId8" name="Check Box 17">
              <controlPr defaultSize="0" print="0" autoFill="0" autoLine="0" autoPict="0">
                <anchor moveWithCells="1">
                  <from>
                    <xdr:col>0</xdr:col>
                    <xdr:colOff>0</xdr:colOff>
                    <xdr:row>34</xdr:row>
                    <xdr:rowOff>0</xdr:rowOff>
                  </from>
                  <to>
                    <xdr:col>0</xdr:col>
                    <xdr:colOff>942975</xdr:colOff>
                    <xdr:row>34</xdr:row>
                    <xdr:rowOff>914400</xdr:rowOff>
                  </to>
                </anchor>
              </controlPr>
            </control>
          </mc:Choice>
        </mc:AlternateContent>
        <mc:AlternateContent xmlns:mc="http://schemas.openxmlformats.org/markup-compatibility/2006">
          <mc:Choice Requires="x14">
            <control shapeId="2066" r:id="rId9" name="Check Box 18">
              <controlPr defaultSize="0" print="0" autoFill="0" autoLine="0" autoPict="0">
                <anchor moveWithCells="1">
                  <from>
                    <xdr:col>0</xdr:col>
                    <xdr:colOff>0</xdr:colOff>
                    <xdr:row>34</xdr:row>
                    <xdr:rowOff>914400</xdr:rowOff>
                  </from>
                  <to>
                    <xdr:col>0</xdr:col>
                    <xdr:colOff>942975</xdr:colOff>
                    <xdr:row>35</xdr:row>
                    <xdr:rowOff>695325</xdr:rowOff>
                  </to>
                </anchor>
              </controlPr>
            </control>
          </mc:Choice>
        </mc:AlternateContent>
        <mc:AlternateContent xmlns:mc="http://schemas.openxmlformats.org/markup-compatibility/2006">
          <mc:Choice Requires="x14">
            <control shapeId="2067" r:id="rId10" name="Check Box 19">
              <controlPr defaultSize="0" print="0" autoFill="0" autoLine="0" autoPict="0">
                <anchor moveWithCells="1">
                  <from>
                    <xdr:col>0</xdr:col>
                    <xdr:colOff>0</xdr:colOff>
                    <xdr:row>36</xdr:row>
                    <xdr:rowOff>0</xdr:rowOff>
                  </from>
                  <to>
                    <xdr:col>0</xdr:col>
                    <xdr:colOff>942975</xdr:colOff>
                    <xdr:row>37</xdr:row>
                    <xdr:rowOff>0</xdr:rowOff>
                  </to>
                </anchor>
              </controlPr>
            </control>
          </mc:Choice>
        </mc:AlternateContent>
        <mc:AlternateContent xmlns:mc="http://schemas.openxmlformats.org/markup-compatibility/2006">
          <mc:Choice Requires="x14">
            <control shapeId="2068" r:id="rId11" name="Check Box 20">
              <controlPr defaultSize="0" print="0" autoFill="0" autoLine="0" autoPict="0">
                <anchor moveWithCells="1">
                  <from>
                    <xdr:col>0</xdr:col>
                    <xdr:colOff>0</xdr:colOff>
                    <xdr:row>37</xdr:row>
                    <xdr:rowOff>0</xdr:rowOff>
                  </from>
                  <to>
                    <xdr:col>0</xdr:col>
                    <xdr:colOff>942975</xdr:colOff>
                    <xdr:row>38</xdr:row>
                    <xdr:rowOff>0</xdr:rowOff>
                  </to>
                </anchor>
              </controlPr>
            </control>
          </mc:Choice>
        </mc:AlternateContent>
        <mc:AlternateContent xmlns:mc="http://schemas.openxmlformats.org/markup-compatibility/2006">
          <mc:Choice Requires="x14">
            <control shapeId="2070" r:id="rId12" name="Check Box 22">
              <controlPr defaultSize="0" print="0" autoFill="0" autoLine="0" autoPict="0">
                <anchor moveWithCells="1">
                  <from>
                    <xdr:col>0</xdr:col>
                    <xdr:colOff>0</xdr:colOff>
                    <xdr:row>39</xdr:row>
                    <xdr:rowOff>0</xdr:rowOff>
                  </from>
                  <to>
                    <xdr:col>0</xdr:col>
                    <xdr:colOff>942975</xdr:colOff>
                    <xdr:row>40</xdr:row>
                    <xdr:rowOff>9525</xdr:rowOff>
                  </to>
                </anchor>
              </controlPr>
            </control>
          </mc:Choice>
        </mc:AlternateContent>
        <mc:AlternateContent xmlns:mc="http://schemas.openxmlformats.org/markup-compatibility/2006">
          <mc:Choice Requires="x14">
            <control shapeId="2071" r:id="rId13" name="Check Box 23">
              <controlPr defaultSize="0" print="0" autoFill="0" autoLine="0" autoPict="0">
                <anchor moveWithCells="1">
                  <from>
                    <xdr:col>0</xdr:col>
                    <xdr:colOff>0</xdr:colOff>
                    <xdr:row>40</xdr:row>
                    <xdr:rowOff>0</xdr:rowOff>
                  </from>
                  <to>
                    <xdr:col>0</xdr:col>
                    <xdr:colOff>942975</xdr:colOff>
                    <xdr:row>41</xdr:row>
                    <xdr:rowOff>9525</xdr:rowOff>
                  </to>
                </anchor>
              </controlPr>
            </control>
          </mc:Choice>
        </mc:AlternateContent>
        <mc:AlternateContent xmlns:mc="http://schemas.openxmlformats.org/markup-compatibility/2006">
          <mc:Choice Requires="x14">
            <control shapeId="2072" r:id="rId14" name="Check Box 24">
              <controlPr defaultSize="0" print="0" autoFill="0" autoLine="0" autoPict="0">
                <anchor moveWithCells="1">
                  <from>
                    <xdr:col>0</xdr:col>
                    <xdr:colOff>0</xdr:colOff>
                    <xdr:row>41</xdr:row>
                    <xdr:rowOff>0</xdr:rowOff>
                  </from>
                  <to>
                    <xdr:col>0</xdr:col>
                    <xdr:colOff>942975</xdr:colOff>
                    <xdr:row>42</xdr:row>
                    <xdr:rowOff>0</xdr:rowOff>
                  </to>
                </anchor>
              </controlPr>
            </control>
          </mc:Choice>
        </mc:AlternateContent>
        <mc:AlternateContent xmlns:mc="http://schemas.openxmlformats.org/markup-compatibility/2006">
          <mc:Choice Requires="x14">
            <control shapeId="2073" r:id="rId15" name="Check Box 25">
              <controlPr defaultSize="0" print="0" autoFill="0" autoLine="0" autoPict="0">
                <anchor moveWithCells="1">
                  <from>
                    <xdr:col>0</xdr:col>
                    <xdr:colOff>0</xdr:colOff>
                    <xdr:row>42</xdr:row>
                    <xdr:rowOff>0</xdr:rowOff>
                  </from>
                  <to>
                    <xdr:col>0</xdr:col>
                    <xdr:colOff>942975</xdr:colOff>
                    <xdr:row>43</xdr:row>
                    <xdr:rowOff>0</xdr:rowOff>
                  </to>
                </anchor>
              </controlPr>
            </control>
          </mc:Choice>
        </mc:AlternateContent>
        <mc:AlternateContent xmlns:mc="http://schemas.openxmlformats.org/markup-compatibility/2006">
          <mc:Choice Requires="x14">
            <control shapeId="2074" r:id="rId16" name="Check Box 26">
              <controlPr defaultSize="0" print="0" autoFill="0" autoLine="0" autoPict="0">
                <anchor moveWithCells="1">
                  <from>
                    <xdr:col>0</xdr:col>
                    <xdr:colOff>0</xdr:colOff>
                    <xdr:row>43</xdr:row>
                    <xdr:rowOff>0</xdr:rowOff>
                  </from>
                  <to>
                    <xdr:col>0</xdr:col>
                    <xdr:colOff>942975</xdr:colOff>
                    <xdr:row>44</xdr:row>
                    <xdr:rowOff>9525</xdr:rowOff>
                  </to>
                </anchor>
              </controlPr>
            </control>
          </mc:Choice>
        </mc:AlternateContent>
        <mc:AlternateContent xmlns:mc="http://schemas.openxmlformats.org/markup-compatibility/2006">
          <mc:Choice Requires="x14">
            <control shapeId="2075" r:id="rId17" name="Check Box 27">
              <controlPr defaultSize="0" print="0" autoFill="0" autoLine="0" autoPict="0">
                <anchor moveWithCells="1">
                  <from>
                    <xdr:col>0</xdr:col>
                    <xdr:colOff>0</xdr:colOff>
                    <xdr:row>44</xdr:row>
                    <xdr:rowOff>0</xdr:rowOff>
                  </from>
                  <to>
                    <xdr:col>0</xdr:col>
                    <xdr:colOff>942975</xdr:colOff>
                    <xdr:row>45</xdr:row>
                    <xdr:rowOff>9525</xdr:rowOff>
                  </to>
                </anchor>
              </controlPr>
            </control>
          </mc:Choice>
        </mc:AlternateContent>
        <mc:AlternateContent xmlns:mc="http://schemas.openxmlformats.org/markup-compatibility/2006">
          <mc:Choice Requires="x14">
            <control shapeId="2076" r:id="rId18" name="Check Box 28">
              <controlPr defaultSize="0" print="0" autoFill="0" autoLine="0" autoPict="0">
                <anchor moveWithCells="1">
                  <from>
                    <xdr:col>0</xdr:col>
                    <xdr:colOff>0</xdr:colOff>
                    <xdr:row>45</xdr:row>
                    <xdr:rowOff>0</xdr:rowOff>
                  </from>
                  <to>
                    <xdr:col>0</xdr:col>
                    <xdr:colOff>942975</xdr:colOff>
                    <xdr:row>46</xdr:row>
                    <xdr:rowOff>9525</xdr:rowOff>
                  </to>
                </anchor>
              </controlPr>
            </control>
          </mc:Choice>
        </mc:AlternateContent>
        <mc:AlternateContent xmlns:mc="http://schemas.openxmlformats.org/markup-compatibility/2006">
          <mc:Choice Requires="x14">
            <control shapeId="2077" r:id="rId19" name="Check Box 29">
              <controlPr defaultSize="0" print="0" autoFill="0" autoLine="0" autoPict="0" macro="[0]!CheckBox29_Click">
                <anchor moveWithCells="1">
                  <from>
                    <xdr:col>0</xdr:col>
                    <xdr:colOff>0</xdr:colOff>
                    <xdr:row>46</xdr:row>
                    <xdr:rowOff>0</xdr:rowOff>
                  </from>
                  <to>
                    <xdr:col>0</xdr:col>
                    <xdr:colOff>942975</xdr:colOff>
                    <xdr:row>47</xdr:row>
                    <xdr:rowOff>9525</xdr:rowOff>
                  </to>
                </anchor>
              </controlPr>
            </control>
          </mc:Choice>
        </mc:AlternateContent>
        <mc:AlternateContent xmlns:mc="http://schemas.openxmlformats.org/markup-compatibility/2006">
          <mc:Choice Requires="x14">
            <control shapeId="2090" r:id="rId20" name="Button 42">
              <controlPr defaultSize="0" print="0" autoFill="0" autoPict="0" macro="[0]!cmov">
                <anchor moveWithCells="1" siz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2102" r:id="rId21" name="Button 54">
              <controlPr defaultSize="0" print="0" autoFill="0" autoPict="0" macro="[0]!addarow">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2203" r:id="rId22" name="Button 155">
              <controlPr defaultSize="0" print="0" autoFill="0" autoPict="0" macro="[0]!lafayette">
                <anchor moveWithCells="1" sizeWithCells="1">
                  <from>
                    <xdr:col>0</xdr:col>
                    <xdr:colOff>0</xdr:colOff>
                    <xdr:row>30</xdr:row>
                    <xdr:rowOff>0</xdr:rowOff>
                  </from>
                  <to>
                    <xdr:col>1</xdr:col>
                    <xdr:colOff>0</xdr:colOff>
                    <xdr:row>31</xdr:row>
                    <xdr:rowOff>0</xdr:rowOff>
                  </to>
                </anchor>
              </controlPr>
            </control>
          </mc:Choice>
        </mc:AlternateContent>
        <mc:AlternateContent xmlns:mc="http://schemas.openxmlformats.org/markup-compatibility/2006">
          <mc:Choice Requires="x14">
            <control shapeId="2251" r:id="rId23" name="Check Box 203">
              <controlPr defaultSize="0" print="0" autoFill="0" autoLine="0" autoPict="0">
                <anchor moveWithCells="1">
                  <from>
                    <xdr:col>0</xdr:col>
                    <xdr:colOff>0</xdr:colOff>
                    <xdr:row>38</xdr:row>
                    <xdr:rowOff>0</xdr:rowOff>
                  </from>
                  <to>
                    <xdr:col>1</xdr:col>
                    <xdr:colOff>28575</xdr:colOff>
                    <xdr:row>39</xdr:row>
                    <xdr:rowOff>0</xdr:rowOff>
                  </to>
                </anchor>
              </controlPr>
            </control>
          </mc:Choice>
        </mc:AlternateContent>
        <mc:AlternateContent xmlns:mc="http://schemas.openxmlformats.org/markup-compatibility/2006">
          <mc:Choice Requires="x14">
            <control shapeId="2309" r:id="rId24" name="Button 261">
              <controlPr defaultSize="0" print="0" autoFill="0" autoPict="0" macro="[0]!erasecircles">
                <anchor moveWithCells="1" sizeWithCells="1">
                  <from>
                    <xdr:col>4</xdr:col>
                    <xdr:colOff>19050</xdr:colOff>
                    <xdr:row>30</xdr:row>
                    <xdr:rowOff>19050</xdr:rowOff>
                  </from>
                  <to>
                    <xdr:col>5</xdr:col>
                    <xdr:colOff>0</xdr:colOff>
                    <xdr:row>31</xdr:row>
                    <xdr:rowOff>0</xdr:rowOff>
                  </to>
                </anchor>
              </controlPr>
            </control>
          </mc:Choice>
        </mc:AlternateContent>
        <mc:AlternateContent xmlns:mc="http://schemas.openxmlformats.org/markup-compatibility/2006">
          <mc:Choice Requires="x14">
            <control shapeId="2315" r:id="rId25" name="Button 267">
              <controlPr defaultSize="0" print="0" autoFill="0" autoPict="0" macro="[0]!cmov">
                <anchor moveWithCells="1" sizeWithCells="1">
                  <from>
                    <xdr:col>3</xdr:col>
                    <xdr:colOff>57150</xdr:colOff>
                    <xdr:row>29</xdr:row>
                    <xdr:rowOff>9525</xdr:rowOff>
                  </from>
                  <to>
                    <xdr:col>4</xdr:col>
                    <xdr:colOff>0</xdr:colOff>
                    <xdr:row>30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IF(E26="Chairs",INDIRECT($G26),IF(E26="Stools",Vinyl!$L$1:$L$2,""))</xm:f>
          </x14:formula1>
          <xm:sqref>H26:H27</xm:sqref>
        </x14:dataValidation>
        <x14:dataValidation type="list" allowBlank="1" showInputMessage="1" showErrorMessage="1">
          <x14:formula1>
            <xm:f>'Lists of Products and Options'!$E$2:$E$8</xm:f>
          </x14:formula1>
          <xm:sqref>E33:E50</xm:sqref>
        </x14:dataValidation>
        <x14:dataValidation type="list" allowBlank="1" showInputMessage="1" showErrorMessage="1">
          <x14:formula1>
            <xm:f>IF(E33="Chairs",INDIRECT($G33),IF(E33="Stools",Vinyl!$L$1:$L$2,IF(E33="Cabinet",Vinyl!$M$1:$M$2,"")))</xm:f>
          </x14:formula1>
          <xm:sqref>H33:H49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D50"/>
  <sheetViews>
    <sheetView zoomScale="85" zoomScaleNormal="85" workbookViewId="0">
      <selection activeCell="W47" sqref="W47"/>
    </sheetView>
  </sheetViews>
  <sheetFormatPr defaultRowHeight="15"/>
  <cols>
    <col min="3" max="3" width="12.7109375" bestFit="1" customWidth="1"/>
    <col min="4" max="4" width="20.5703125" bestFit="1" customWidth="1"/>
    <col min="5" max="5" width="7.140625" customWidth="1"/>
    <col min="6" max="6" width="12.7109375" bestFit="1" customWidth="1"/>
    <col min="7" max="7" width="31" bestFit="1" customWidth="1"/>
    <col min="8" max="8" width="12.7109375" bestFit="1" customWidth="1"/>
    <col min="9" max="9" width="4" customWidth="1"/>
    <col min="10" max="12" width="12.7109375" bestFit="1" customWidth="1"/>
    <col min="13" max="13" width="6.7109375" customWidth="1"/>
    <col min="14" max="14" width="10.140625" bestFit="1" customWidth="1"/>
    <col min="15" max="15" width="12.7109375" bestFit="1" customWidth="1"/>
    <col min="16" max="16" width="22.5703125" bestFit="1" customWidth="1"/>
    <col min="17" max="17" width="7.140625" bestFit="1" customWidth="1"/>
    <col min="18" max="18" width="13.42578125" customWidth="1"/>
    <col min="19" max="19" width="12.7109375" bestFit="1" customWidth="1"/>
    <col min="20" max="20" width="12.7109375" customWidth="1"/>
    <col min="21" max="21" width="13.5703125" customWidth="1"/>
    <col min="22" max="22" width="32.5703125" bestFit="1" customWidth="1"/>
    <col min="23" max="28" width="12.140625" customWidth="1"/>
  </cols>
  <sheetData>
    <row r="1" spans="2:30">
      <c r="B1" s="557" t="s">
        <v>22</v>
      </c>
      <c r="C1" s="557"/>
      <c r="D1" s="557"/>
      <c r="F1" s="557" t="s">
        <v>20</v>
      </c>
      <c r="G1" s="557"/>
      <c r="H1" s="557"/>
      <c r="J1" s="557" t="s">
        <v>18</v>
      </c>
      <c r="K1" s="557"/>
      <c r="L1" s="557"/>
      <c r="N1" s="557" t="s">
        <v>16</v>
      </c>
      <c r="O1" s="557"/>
      <c r="P1" s="557"/>
      <c r="R1" t="s">
        <v>1591</v>
      </c>
      <c r="V1" s="558" t="s">
        <v>1505</v>
      </c>
      <c r="W1" s="558"/>
      <c r="X1" s="171"/>
      <c r="Y1" s="557" t="s">
        <v>1497</v>
      </c>
      <c r="Z1" s="557"/>
      <c r="AA1" s="557"/>
      <c r="AD1" t="s">
        <v>2427</v>
      </c>
    </row>
    <row r="2" spans="2:30">
      <c r="B2" t="s">
        <v>1567</v>
      </c>
      <c r="C2" t="s">
        <v>1565</v>
      </c>
      <c r="D2" t="s">
        <v>1572</v>
      </c>
      <c r="F2" t="s">
        <v>1575</v>
      </c>
      <c r="G2" t="s">
        <v>1579</v>
      </c>
      <c r="H2" t="s">
        <v>1565</v>
      </c>
      <c r="J2" t="s">
        <v>1623</v>
      </c>
      <c r="K2" t="s">
        <v>1583</v>
      </c>
      <c r="L2" t="s">
        <v>1565</v>
      </c>
      <c r="N2" t="s">
        <v>1584</v>
      </c>
      <c r="O2" t="s">
        <v>1566</v>
      </c>
      <c r="P2" t="s">
        <v>1588</v>
      </c>
      <c r="R2" t="s">
        <v>1584</v>
      </c>
      <c r="S2" t="s">
        <v>1566</v>
      </c>
      <c r="T2">
        <v>0</v>
      </c>
      <c r="V2" s="170" t="s">
        <v>1614</v>
      </c>
      <c r="W2" s="169" t="s">
        <v>1510</v>
      </c>
      <c r="AD2" t="s">
        <v>2428</v>
      </c>
    </row>
    <row r="3" spans="2:30">
      <c r="B3" t="s">
        <v>1568</v>
      </c>
      <c r="C3" t="s">
        <v>1566</v>
      </c>
      <c r="D3" t="s">
        <v>1572</v>
      </c>
      <c r="F3" t="s">
        <v>1576</v>
      </c>
      <c r="G3" t="s">
        <v>1580</v>
      </c>
      <c r="H3" t="s">
        <v>1565</v>
      </c>
      <c r="J3" t="s">
        <v>1624</v>
      </c>
      <c r="K3" t="s">
        <v>1583</v>
      </c>
      <c r="L3" t="s">
        <v>1566</v>
      </c>
      <c r="N3" t="s">
        <v>1585</v>
      </c>
      <c r="O3" t="s">
        <v>1566</v>
      </c>
      <c r="P3" t="s">
        <v>1582</v>
      </c>
      <c r="R3" t="s">
        <v>1585</v>
      </c>
      <c r="S3" t="s">
        <v>1566</v>
      </c>
      <c r="T3">
        <v>412</v>
      </c>
      <c r="V3" t="s">
        <v>1565</v>
      </c>
      <c r="W3">
        <v>0</v>
      </c>
      <c r="AD3" t="s">
        <v>2429</v>
      </c>
    </row>
    <row r="4" spans="2:30">
      <c r="B4" t="s">
        <v>1569</v>
      </c>
      <c r="C4" t="s">
        <v>1565</v>
      </c>
      <c r="D4" t="s">
        <v>1572</v>
      </c>
      <c r="F4" t="s">
        <v>1577</v>
      </c>
      <c r="G4" t="s">
        <v>1581</v>
      </c>
      <c r="H4" t="s">
        <v>1565</v>
      </c>
      <c r="N4" t="s">
        <v>1586</v>
      </c>
      <c r="O4" t="s">
        <v>1566</v>
      </c>
      <c r="P4" t="s">
        <v>1589</v>
      </c>
      <c r="R4" t="s">
        <v>1586</v>
      </c>
      <c r="S4" t="s">
        <v>1592</v>
      </c>
      <c r="T4">
        <v>0</v>
      </c>
      <c r="V4" t="s">
        <v>1613</v>
      </c>
      <c r="W4">
        <v>78</v>
      </c>
      <c r="AD4" t="s">
        <v>2430</v>
      </c>
    </row>
    <row r="5" spans="2:30">
      <c r="B5" t="s">
        <v>1570</v>
      </c>
      <c r="C5" t="s">
        <v>1566</v>
      </c>
      <c r="D5" t="s">
        <v>1573</v>
      </c>
      <c r="F5" t="s">
        <v>1578</v>
      </c>
      <c r="G5" t="s">
        <v>1582</v>
      </c>
      <c r="H5" t="s">
        <v>1565</v>
      </c>
      <c r="N5" t="s">
        <v>1587</v>
      </c>
      <c r="O5" t="s">
        <v>1566</v>
      </c>
      <c r="P5" t="s">
        <v>1590</v>
      </c>
      <c r="R5" t="s">
        <v>1587</v>
      </c>
      <c r="S5" t="s">
        <v>1566</v>
      </c>
      <c r="T5">
        <v>412</v>
      </c>
      <c r="V5" t="s">
        <v>1566</v>
      </c>
      <c r="W5">
        <v>134</v>
      </c>
      <c r="AD5" t="s">
        <v>2431</v>
      </c>
    </row>
    <row r="6" spans="2:30">
      <c r="B6" t="s">
        <v>1571</v>
      </c>
      <c r="C6" t="s">
        <v>1566</v>
      </c>
      <c r="D6" t="s">
        <v>1574</v>
      </c>
      <c r="F6" t="s">
        <v>1575</v>
      </c>
      <c r="G6" t="s">
        <v>1579</v>
      </c>
      <c r="H6" t="s">
        <v>1566</v>
      </c>
      <c r="R6" t="s">
        <v>1575</v>
      </c>
      <c r="S6" t="s">
        <v>1592</v>
      </c>
      <c r="T6">
        <v>0</v>
      </c>
      <c r="V6" t="s">
        <v>1615</v>
      </c>
      <c r="W6">
        <v>206</v>
      </c>
      <c r="AD6" t="s">
        <v>2432</v>
      </c>
    </row>
    <row r="7" spans="2:30">
      <c r="F7" t="s">
        <v>1576</v>
      </c>
      <c r="G7" t="s">
        <v>1580</v>
      </c>
      <c r="H7" t="s">
        <v>1566</v>
      </c>
      <c r="R7" t="s">
        <v>1576</v>
      </c>
      <c r="S7" t="s">
        <v>1592</v>
      </c>
      <c r="T7">
        <v>0</v>
      </c>
      <c r="AD7" t="s">
        <v>2433</v>
      </c>
    </row>
    <row r="8" spans="2:30">
      <c r="F8" t="s">
        <v>1577</v>
      </c>
      <c r="G8" t="s">
        <v>1581</v>
      </c>
      <c r="H8" t="s">
        <v>1566</v>
      </c>
      <c r="R8" t="s">
        <v>1577</v>
      </c>
      <c r="S8" t="s">
        <v>1592</v>
      </c>
      <c r="T8">
        <v>0</v>
      </c>
      <c r="AD8" t="s">
        <v>2434</v>
      </c>
    </row>
    <row r="9" spans="2:30">
      <c r="F9" t="s">
        <v>1578</v>
      </c>
      <c r="G9" t="s">
        <v>1582</v>
      </c>
      <c r="H9" t="s">
        <v>1566</v>
      </c>
      <c r="R9" t="s">
        <v>1578</v>
      </c>
      <c r="S9" t="s">
        <v>1592</v>
      </c>
      <c r="T9">
        <v>0</v>
      </c>
      <c r="V9" t="s">
        <v>1650</v>
      </c>
      <c r="AD9" t="s">
        <v>2435</v>
      </c>
    </row>
    <row r="10" spans="2:30">
      <c r="R10" t="s">
        <v>1624</v>
      </c>
      <c r="S10" t="s">
        <v>1566</v>
      </c>
      <c r="T10">
        <v>0</v>
      </c>
      <c r="AD10" t="s">
        <v>2436</v>
      </c>
    </row>
    <row r="11" spans="2:30">
      <c r="R11" t="s">
        <v>1567</v>
      </c>
      <c r="S11" t="s">
        <v>1565</v>
      </c>
      <c r="T11">
        <v>0</v>
      </c>
      <c r="AD11" t="s">
        <v>2437</v>
      </c>
    </row>
    <row r="12" spans="2:30">
      <c r="R12" t="s">
        <v>1568</v>
      </c>
      <c r="S12" t="s">
        <v>1566</v>
      </c>
      <c r="T12">
        <v>0</v>
      </c>
      <c r="AD12" t="s">
        <v>2438</v>
      </c>
    </row>
    <row r="13" spans="2:30">
      <c r="R13" t="s">
        <v>1569</v>
      </c>
      <c r="S13" t="s">
        <v>1565</v>
      </c>
      <c r="T13">
        <v>0</v>
      </c>
      <c r="AD13" t="s">
        <v>2439</v>
      </c>
    </row>
    <row r="14" spans="2:30">
      <c r="R14" t="s">
        <v>1570</v>
      </c>
      <c r="S14" t="s">
        <v>1566</v>
      </c>
      <c r="T14">
        <v>0</v>
      </c>
      <c r="AD14" t="s">
        <v>2440</v>
      </c>
    </row>
    <row r="15" spans="2:30">
      <c r="R15" t="s">
        <v>1571</v>
      </c>
      <c r="S15" t="s">
        <v>1566</v>
      </c>
      <c r="T15">
        <v>0</v>
      </c>
      <c r="AD15" t="s">
        <v>2441</v>
      </c>
    </row>
    <row r="16" spans="2:30">
      <c r="R16" t="s">
        <v>1623</v>
      </c>
      <c r="S16" t="s">
        <v>1565</v>
      </c>
      <c r="T16">
        <v>0</v>
      </c>
      <c r="AD16" t="s">
        <v>2442</v>
      </c>
    </row>
    <row r="17" spans="3:30">
      <c r="AD17" t="s">
        <v>2443</v>
      </c>
    </row>
    <row r="18" spans="3:30">
      <c r="AD18" t="s">
        <v>2444</v>
      </c>
    </row>
    <row r="19" spans="3:30">
      <c r="C19" t="s">
        <v>1584</v>
      </c>
      <c r="D19" t="s">
        <v>1585</v>
      </c>
      <c r="E19" t="s">
        <v>1586</v>
      </c>
      <c r="F19" t="s">
        <v>1587</v>
      </c>
      <c r="G19" t="s">
        <v>1575</v>
      </c>
      <c r="H19" t="s">
        <v>1576</v>
      </c>
      <c r="I19" t="s">
        <v>1577</v>
      </c>
      <c r="J19" t="s">
        <v>1578</v>
      </c>
      <c r="K19" t="s">
        <v>18</v>
      </c>
      <c r="L19" t="s">
        <v>1567</v>
      </c>
      <c r="M19" t="s">
        <v>1568</v>
      </c>
      <c r="N19" t="s">
        <v>1569</v>
      </c>
      <c r="O19" t="s">
        <v>1570</v>
      </c>
      <c r="P19" t="s">
        <v>1571</v>
      </c>
      <c r="Q19" t="s">
        <v>1623</v>
      </c>
      <c r="R19" t="s">
        <v>1624</v>
      </c>
      <c r="S19" t="s">
        <v>1617</v>
      </c>
      <c r="T19" t="s">
        <v>1621</v>
      </c>
      <c r="U19" t="s">
        <v>1618</v>
      </c>
      <c r="V19" t="s">
        <v>1619</v>
      </c>
      <c r="W19" t="s">
        <v>1620</v>
      </c>
      <c r="AD19" t="s">
        <v>2445</v>
      </c>
    </row>
    <row r="20" spans="3:30">
      <c r="C20" t="s">
        <v>1566</v>
      </c>
      <c r="D20" t="s">
        <v>1566</v>
      </c>
      <c r="E20" t="s">
        <v>1566</v>
      </c>
      <c r="F20" t="s">
        <v>1566</v>
      </c>
      <c r="G20" t="s">
        <v>1566</v>
      </c>
      <c r="H20" t="s">
        <v>1566</v>
      </c>
      <c r="I20" t="s">
        <v>1566</v>
      </c>
      <c r="J20" t="s">
        <v>1566</v>
      </c>
      <c r="K20" t="s">
        <v>1566</v>
      </c>
      <c r="L20" t="s">
        <v>1565</v>
      </c>
      <c r="M20" t="s">
        <v>1566</v>
      </c>
      <c r="N20" t="s">
        <v>1565</v>
      </c>
      <c r="O20" t="s">
        <v>1566</v>
      </c>
      <c r="P20" t="s">
        <v>1566</v>
      </c>
      <c r="Q20" t="s">
        <v>1565</v>
      </c>
      <c r="R20" t="s">
        <v>1566</v>
      </c>
      <c r="S20" t="s">
        <v>1565</v>
      </c>
      <c r="T20" t="s">
        <v>1565</v>
      </c>
      <c r="U20" t="s">
        <v>1565</v>
      </c>
      <c r="V20" t="s">
        <v>1565</v>
      </c>
      <c r="W20" t="s">
        <v>1565</v>
      </c>
      <c r="AD20" t="s">
        <v>2446</v>
      </c>
    </row>
    <row r="21" spans="3:30">
      <c r="E21" t="s">
        <v>1565</v>
      </c>
      <c r="G21" t="s">
        <v>1565</v>
      </c>
      <c r="H21" t="s">
        <v>1565</v>
      </c>
      <c r="I21" t="s">
        <v>1565</v>
      </c>
      <c r="J21" t="s">
        <v>1565</v>
      </c>
      <c r="K21" t="s">
        <v>1565</v>
      </c>
      <c r="S21" t="s">
        <v>1566</v>
      </c>
      <c r="T21" t="s">
        <v>1566</v>
      </c>
      <c r="U21" t="s">
        <v>1566</v>
      </c>
      <c r="V21" t="s">
        <v>1566</v>
      </c>
      <c r="W21" t="s">
        <v>1566</v>
      </c>
      <c r="AD21" t="s">
        <v>2223</v>
      </c>
    </row>
    <row r="22" spans="3:30">
      <c r="AD22" t="s">
        <v>2447</v>
      </c>
    </row>
    <row r="23" spans="3:30">
      <c r="AD23" t="s">
        <v>2448</v>
      </c>
    </row>
    <row r="24" spans="3:30">
      <c r="G24" s="173" t="s">
        <v>1654</v>
      </c>
      <c r="H24" t="s">
        <v>1655</v>
      </c>
      <c r="AD24" t="s">
        <v>2449</v>
      </c>
    </row>
    <row r="25" spans="3:30">
      <c r="G25" t="s">
        <v>1656</v>
      </c>
      <c r="H25">
        <v>0</v>
      </c>
      <c r="AD25" t="s">
        <v>2450</v>
      </c>
    </row>
    <row r="26" spans="3:30">
      <c r="G26" t="s">
        <v>1657</v>
      </c>
      <c r="H26">
        <v>134</v>
      </c>
      <c r="AD26" t="s">
        <v>2451</v>
      </c>
    </row>
    <row r="27" spans="3:30">
      <c r="G27" t="s">
        <v>1658</v>
      </c>
      <c r="H27">
        <v>78</v>
      </c>
      <c r="AD27" t="s">
        <v>2452</v>
      </c>
    </row>
    <row r="28" spans="3:30">
      <c r="G28" t="s">
        <v>1659</v>
      </c>
      <c r="H28">
        <v>206</v>
      </c>
      <c r="AD28" t="s">
        <v>2453</v>
      </c>
    </row>
    <row r="29" spans="3:30">
      <c r="G29" t="s">
        <v>1660</v>
      </c>
      <c r="H29">
        <v>0</v>
      </c>
      <c r="AD29" t="s">
        <v>2454</v>
      </c>
    </row>
    <row r="30" spans="3:30">
      <c r="G30" t="s">
        <v>1661</v>
      </c>
      <c r="H30">
        <v>598</v>
      </c>
      <c r="AD30" t="s">
        <v>2150</v>
      </c>
    </row>
    <row r="31" spans="3:30">
      <c r="G31" t="s">
        <v>1662</v>
      </c>
      <c r="H31">
        <v>180</v>
      </c>
      <c r="AD31" t="s">
        <v>2455</v>
      </c>
    </row>
    <row r="32" spans="3:30">
      <c r="G32" t="s">
        <v>1663</v>
      </c>
      <c r="H32">
        <v>778</v>
      </c>
      <c r="AD32" t="s">
        <v>2105</v>
      </c>
    </row>
    <row r="33" spans="30:30">
      <c r="AD33" t="s">
        <v>2456</v>
      </c>
    </row>
    <row r="34" spans="30:30">
      <c r="AD34" t="s">
        <v>2457</v>
      </c>
    </row>
    <row r="35" spans="30:30">
      <c r="AD35" t="s">
        <v>2458</v>
      </c>
    </row>
    <row r="36" spans="30:30">
      <c r="AD36" t="s">
        <v>2459</v>
      </c>
    </row>
    <row r="37" spans="30:30">
      <c r="AD37" t="s">
        <v>2460</v>
      </c>
    </row>
    <row r="38" spans="30:30">
      <c r="AD38" t="s">
        <v>2461</v>
      </c>
    </row>
    <row r="39" spans="30:30">
      <c r="AD39" t="s">
        <v>2462</v>
      </c>
    </row>
    <row r="40" spans="30:30">
      <c r="AD40" t="s">
        <v>2463</v>
      </c>
    </row>
    <row r="41" spans="30:30">
      <c r="AD41" t="s">
        <v>2464</v>
      </c>
    </row>
    <row r="42" spans="30:30">
      <c r="AD42" t="s">
        <v>2465</v>
      </c>
    </row>
    <row r="43" spans="30:30">
      <c r="AD43" t="s">
        <v>2466</v>
      </c>
    </row>
    <row r="44" spans="30:30">
      <c r="AD44" t="s">
        <v>2467</v>
      </c>
    </row>
    <row r="45" spans="30:30">
      <c r="AD45" t="s">
        <v>2468</v>
      </c>
    </row>
    <row r="46" spans="30:30">
      <c r="AD46" t="s">
        <v>2469</v>
      </c>
    </row>
    <row r="47" spans="30:30">
      <c r="AD47" t="s">
        <v>2470</v>
      </c>
    </row>
    <row r="48" spans="30:30">
      <c r="AD48" t="s">
        <v>2471</v>
      </c>
    </row>
    <row r="49" spans="30:30">
      <c r="AD49" t="s">
        <v>2472</v>
      </c>
    </row>
    <row r="50" spans="30:30">
      <c r="AD50" t="s">
        <v>2473</v>
      </c>
    </row>
  </sheetData>
  <mergeCells count="6">
    <mergeCell ref="Y1:AA1"/>
    <mergeCell ref="B1:D1"/>
    <mergeCell ref="F1:H1"/>
    <mergeCell ref="J1:L1"/>
    <mergeCell ref="N1:P1"/>
    <mergeCell ref="V1:W1"/>
  </mergeCells>
  <pageMargins left="0.7" right="0.7" top="0.75" bottom="0.75" header="0.3" footer="0.3"/>
  <pageSetup scale="3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AV140"/>
  <sheetViews>
    <sheetView zoomScale="85" zoomScaleNormal="85" zoomScaleSheetLayoutView="70" workbookViewId="0">
      <pane ySplit="3" topLeftCell="A4" activePane="bottomLeft" state="frozen"/>
      <selection activeCell="X17" sqref="X17"/>
      <selection pane="bottomLeft" activeCell="AL2" sqref="AL2"/>
    </sheetView>
  </sheetViews>
  <sheetFormatPr defaultRowHeight="15"/>
  <cols>
    <col min="1" max="1" width="22.140625" hidden="1" customWidth="1"/>
    <col min="2" max="2" width="16.5703125" hidden="1" customWidth="1"/>
    <col min="3" max="3" width="20.140625" hidden="1" customWidth="1"/>
    <col min="4" max="4" width="18" hidden="1" customWidth="1"/>
    <col min="5" max="5" width="16.5703125" hidden="1" customWidth="1"/>
    <col min="6" max="6" width="38.5703125" hidden="1" customWidth="1"/>
    <col min="7" max="7" width="26.140625" hidden="1" customWidth="1"/>
    <col min="8" max="9" width="14.42578125" hidden="1" customWidth="1"/>
    <col min="10" max="10" width="12.85546875" hidden="1" customWidth="1"/>
    <col min="11" max="11" width="6.85546875" hidden="1" customWidth="1"/>
    <col min="12" max="12" width="11.5703125" hidden="1" customWidth="1"/>
    <col min="13" max="13" width="13.5703125" hidden="1" customWidth="1"/>
    <col min="14" max="14" width="9.85546875" hidden="1" customWidth="1"/>
    <col min="15" max="15" width="13.42578125" hidden="1" customWidth="1"/>
    <col min="16" max="17" width="14.42578125" hidden="1" customWidth="1"/>
    <col min="18" max="18" width="12.85546875" hidden="1" customWidth="1"/>
    <col min="19" max="19" width="7.85546875" hidden="1" customWidth="1"/>
    <col min="20" max="20" width="20.5703125" hidden="1" customWidth="1"/>
    <col min="21" max="21" width="13.5703125" hidden="1" customWidth="1"/>
    <col min="22" max="22" width="13.42578125" hidden="1" customWidth="1"/>
    <col min="23" max="24" width="14.42578125" hidden="1" customWidth="1"/>
    <col min="25" max="25" width="9.85546875" hidden="1" customWidth="1"/>
    <col min="26" max="27" width="9.140625" hidden="1" customWidth="1"/>
    <col min="28" max="28" width="9.140625" style="467" customWidth="1"/>
    <col min="29" max="29" width="9.85546875" bestFit="1" customWidth="1"/>
    <col min="30" max="31" width="26.140625" bestFit="1" customWidth="1"/>
    <col min="32" max="33" width="9.85546875" bestFit="1" customWidth="1"/>
    <col min="34" max="34" width="43.140625" customWidth="1"/>
    <col min="35" max="35" width="9.85546875" style="467" bestFit="1" customWidth="1"/>
    <col min="36" max="36" width="9.85546875" bestFit="1" customWidth="1"/>
    <col min="37" max="37" width="11" bestFit="1" customWidth="1"/>
    <col min="38" max="38" width="9.85546875" bestFit="1" customWidth="1"/>
    <col min="39" max="39" width="9.85546875" style="467" bestFit="1" customWidth="1"/>
    <col min="40" max="41" width="9.85546875" bestFit="1" customWidth="1"/>
    <col min="42" max="42" width="51.7109375" customWidth="1"/>
    <col min="43" max="44" width="9.85546875" bestFit="1" customWidth="1"/>
    <col min="45" max="45" width="9.42578125" bestFit="1" customWidth="1"/>
    <col min="46" max="48" width="9.85546875" bestFit="1" customWidth="1"/>
    <col min="49" max="16384" width="9.140625" style="467"/>
  </cols>
  <sheetData>
    <row r="1" spans="1:48">
      <c r="A1" t="s">
        <v>2194</v>
      </c>
      <c r="F1" s="439" t="s">
        <v>2252</v>
      </c>
      <c r="G1" s="439"/>
      <c r="H1" s="439"/>
      <c r="AE1" s="171" t="s">
        <v>2373</v>
      </c>
      <c r="AG1" s="171"/>
      <c r="AI1"/>
      <c r="AM1" s="557" t="s">
        <v>2362</v>
      </c>
      <c r="AN1" s="557"/>
      <c r="AO1" s="557"/>
      <c r="AP1" s="557"/>
      <c r="AQ1" s="557"/>
    </row>
    <row r="2" spans="1:48">
      <c r="A2" s="372"/>
      <c r="B2" s="186"/>
      <c r="C2" s="186"/>
      <c r="D2" s="186"/>
      <c r="E2" s="371" t="s">
        <v>2183</v>
      </c>
      <c r="F2" s="483" t="s">
        <v>2185</v>
      </c>
      <c r="G2" s="484"/>
      <c r="H2" s="484"/>
      <c r="I2" s="484"/>
      <c r="J2" s="484"/>
      <c r="K2" s="484"/>
      <c r="L2" s="484"/>
      <c r="M2" s="484"/>
      <c r="N2" s="485"/>
      <c r="O2" s="483" t="s">
        <v>2192</v>
      </c>
      <c r="P2" s="484"/>
      <c r="Q2" s="484"/>
      <c r="R2" s="484"/>
      <c r="S2" s="484"/>
      <c r="T2" s="484"/>
      <c r="U2" s="485"/>
      <c r="V2" s="483" t="s">
        <v>2193</v>
      </c>
      <c r="W2" s="484"/>
      <c r="X2" s="485"/>
      <c r="Y2" s="171"/>
      <c r="Z2" s="171"/>
      <c r="AA2" s="171"/>
      <c r="AB2" s="523" t="s">
        <v>2483</v>
      </c>
      <c r="AC2" s="171" t="s">
        <v>1956</v>
      </c>
      <c r="AF2" s="510"/>
      <c r="AG2" s="510"/>
      <c r="AH2" s="510"/>
      <c r="AI2" s="510"/>
      <c r="AJ2" s="504"/>
      <c r="AL2" t="s">
        <v>1956</v>
      </c>
      <c r="AM2" s="569"/>
      <c r="AN2" s="569"/>
      <c r="AO2" s="569"/>
      <c r="AP2" s="569"/>
    </row>
    <row r="3" spans="1:48">
      <c r="A3" s="366"/>
      <c r="B3" s="367" t="s">
        <v>1498</v>
      </c>
      <c r="C3" s="367"/>
      <c r="D3" s="440"/>
      <c r="E3" s="441" t="s">
        <v>214</v>
      </c>
      <c r="F3" s="441" t="s">
        <v>2253</v>
      </c>
      <c r="G3" s="441" t="s">
        <v>2254</v>
      </c>
      <c r="H3" s="441" t="s">
        <v>200</v>
      </c>
      <c r="I3" s="441" t="s">
        <v>202</v>
      </c>
      <c r="J3" s="441" t="s">
        <v>204</v>
      </c>
      <c r="K3" s="441" t="s">
        <v>206</v>
      </c>
      <c r="L3" s="441" t="s">
        <v>208</v>
      </c>
      <c r="M3" s="441" t="s">
        <v>210</v>
      </c>
      <c r="N3" s="441" t="s">
        <v>212</v>
      </c>
      <c r="O3" s="442" t="s">
        <v>1709</v>
      </c>
      <c r="P3" s="442" t="s">
        <v>1717</v>
      </c>
      <c r="Q3" s="442" t="s">
        <v>1718</v>
      </c>
      <c r="R3" s="442" t="s">
        <v>1719</v>
      </c>
      <c r="S3" s="442" t="s">
        <v>1720</v>
      </c>
      <c r="T3" s="442" t="s">
        <v>189</v>
      </c>
      <c r="U3" s="442" t="s">
        <v>191</v>
      </c>
      <c r="V3" s="442" t="s">
        <v>1721</v>
      </c>
      <c r="W3" s="442" t="s">
        <v>1722</v>
      </c>
      <c r="X3" s="442" t="s">
        <v>1723</v>
      </c>
      <c r="Y3" s="444" t="s">
        <v>2276</v>
      </c>
      <c r="AC3" s="441" t="s">
        <v>214</v>
      </c>
      <c r="AD3" s="441" t="s">
        <v>2253</v>
      </c>
      <c r="AE3" s="441" t="s">
        <v>2254</v>
      </c>
      <c r="AF3" s="442" t="s">
        <v>200</v>
      </c>
      <c r="AG3" s="442" t="s">
        <v>202</v>
      </c>
      <c r="AH3" s="507" t="s">
        <v>204</v>
      </c>
      <c r="AI3" s="442" t="s">
        <v>206</v>
      </c>
      <c r="AJ3" s="441" t="s">
        <v>208</v>
      </c>
      <c r="AK3" s="441" t="s">
        <v>210</v>
      </c>
      <c r="AL3" s="441" t="s">
        <v>212</v>
      </c>
      <c r="AM3" s="505" t="s">
        <v>1709</v>
      </c>
      <c r="AN3" s="442" t="s">
        <v>1717</v>
      </c>
      <c r="AO3" s="442" t="s">
        <v>1718</v>
      </c>
      <c r="AP3" s="442" t="s">
        <v>1719</v>
      </c>
      <c r="AQ3" s="442" t="s">
        <v>1720</v>
      </c>
      <c r="AR3" s="442" t="s">
        <v>189</v>
      </c>
      <c r="AS3" s="442" t="s">
        <v>191</v>
      </c>
      <c r="AT3" s="442" t="s">
        <v>1721</v>
      </c>
      <c r="AU3" s="442" t="s">
        <v>1722</v>
      </c>
      <c r="AV3" s="442" t="s">
        <v>1723</v>
      </c>
    </row>
    <row r="4" spans="1:48" ht="75.75" customHeight="1" thickBot="1">
      <c r="A4" s="366"/>
      <c r="B4" s="367"/>
      <c r="C4" t="s">
        <v>2276</v>
      </c>
      <c r="D4" s="367" t="s">
        <v>2277</v>
      </c>
      <c r="E4" s="444"/>
      <c r="F4" s="486" t="s">
        <v>2255</v>
      </c>
      <c r="G4" s="486" t="s">
        <v>2255</v>
      </c>
      <c r="H4" s="445" t="s">
        <v>2256</v>
      </c>
      <c r="I4" s="445" t="s">
        <v>2256</v>
      </c>
      <c r="J4" s="445" t="s">
        <v>2190</v>
      </c>
      <c r="K4" s="443"/>
      <c r="L4" s="445"/>
      <c r="M4" s="445" t="s">
        <v>2257</v>
      </c>
      <c r="N4" s="445"/>
      <c r="O4" s="446" t="s">
        <v>2255</v>
      </c>
      <c r="P4" s="445" t="s">
        <v>2256</v>
      </c>
      <c r="Q4" s="445" t="s">
        <v>2256</v>
      </c>
      <c r="R4" s="445" t="s">
        <v>2190</v>
      </c>
      <c r="S4" s="443"/>
      <c r="T4" s="443"/>
      <c r="U4" s="445" t="s">
        <v>2257</v>
      </c>
      <c r="V4" s="446" t="s">
        <v>2255</v>
      </c>
      <c r="W4" s="445" t="s">
        <v>2256</v>
      </c>
      <c r="X4" s="445" t="s">
        <v>2256</v>
      </c>
      <c r="AC4" s="444"/>
      <c r="AD4" s="503" t="s">
        <v>2372</v>
      </c>
      <c r="AE4" s="500" t="s">
        <v>2255</v>
      </c>
      <c r="AF4" s="445" t="s">
        <v>2256</v>
      </c>
      <c r="AG4" s="445" t="s">
        <v>2256</v>
      </c>
      <c r="AH4" s="508" t="s">
        <v>2389</v>
      </c>
      <c r="AI4" s="443"/>
      <c r="AJ4" s="445"/>
      <c r="AK4" s="445" t="s">
        <v>2257</v>
      </c>
      <c r="AL4" s="445" t="s">
        <v>2419</v>
      </c>
      <c r="AM4" s="506" t="s">
        <v>2255</v>
      </c>
      <c r="AN4" s="445" t="s">
        <v>2256</v>
      </c>
      <c r="AO4" s="445" t="s">
        <v>2256</v>
      </c>
      <c r="AP4" s="508" t="s">
        <v>2389</v>
      </c>
      <c r="AQ4" s="443"/>
      <c r="AR4" s="443"/>
      <c r="AS4" s="445" t="s">
        <v>2257</v>
      </c>
      <c r="AT4" s="446" t="s">
        <v>2255</v>
      </c>
      <c r="AU4" s="445" t="s">
        <v>2256</v>
      </c>
      <c r="AV4" s="445" t="s">
        <v>2256</v>
      </c>
    </row>
    <row r="5" spans="1:48" ht="15" customHeight="1">
      <c r="A5" s="566" t="s">
        <v>1503</v>
      </c>
      <c r="B5" s="561" t="s">
        <v>1503</v>
      </c>
      <c r="C5" s="481" t="s">
        <v>22</v>
      </c>
      <c r="D5" s="453"/>
      <c r="E5" s="451" t="s">
        <v>2184</v>
      </c>
      <c r="F5" s="452">
        <v>1</v>
      </c>
      <c r="G5" s="453">
        <v>1</v>
      </c>
      <c r="H5" s="453"/>
      <c r="I5" s="453"/>
      <c r="J5" s="453"/>
      <c r="K5" s="453"/>
      <c r="L5" s="453">
        <v>1</v>
      </c>
      <c r="M5" s="453">
        <v>1</v>
      </c>
      <c r="N5" s="454" t="s">
        <v>2191</v>
      </c>
      <c r="O5" s="452">
        <v>1</v>
      </c>
      <c r="P5" s="453"/>
      <c r="Q5" s="453"/>
      <c r="R5" s="453"/>
      <c r="S5" s="453"/>
      <c r="T5" s="453">
        <v>1</v>
      </c>
      <c r="U5" s="454">
        <v>1</v>
      </c>
      <c r="V5" s="452">
        <v>1</v>
      </c>
      <c r="W5" s="453"/>
      <c r="X5" s="454"/>
      <c r="Y5" t="s">
        <v>22</v>
      </c>
      <c r="AC5" t="str">
        <f>IF(F7=1,$C7,"")</f>
        <v>Q-5000</v>
      </c>
      <c r="AD5" s="186" t="s">
        <v>22</v>
      </c>
      <c r="AE5" s="186" t="s">
        <v>22</v>
      </c>
      <c r="AF5" s="186" t="s">
        <v>2417</v>
      </c>
      <c r="AG5" s="186" t="s">
        <v>2416</v>
      </c>
      <c r="AH5" s="186" t="s">
        <v>1501</v>
      </c>
      <c r="AI5" s="186" t="s">
        <v>2418</v>
      </c>
      <c r="AJ5" s="186" t="str">
        <f>IF(M7=1,$C7,"")</f>
        <v>Q-5000</v>
      </c>
      <c r="AK5" s="186" t="s">
        <v>82</v>
      </c>
      <c r="AL5" s="186" t="s">
        <v>16</v>
      </c>
      <c r="AM5" s="186" t="s">
        <v>22</v>
      </c>
      <c r="AN5" s="186" t="s">
        <v>2417</v>
      </c>
      <c r="AO5" s="186" t="s">
        <v>2416</v>
      </c>
      <c r="AP5" s="186" t="s">
        <v>1501</v>
      </c>
      <c r="AQ5" s="186" t="s">
        <v>2418</v>
      </c>
      <c r="AR5" s="186" t="str">
        <f>IF(U7=1,$C7,"")</f>
        <v>Q-5000</v>
      </c>
      <c r="AS5" s="186" t="s">
        <v>82</v>
      </c>
      <c r="AT5" s="186" t="s">
        <v>22</v>
      </c>
      <c r="AU5" s="186" t="s">
        <v>2417</v>
      </c>
      <c r="AV5" s="186" t="s">
        <v>2416</v>
      </c>
    </row>
    <row r="6" spans="1:48">
      <c r="A6" s="551"/>
      <c r="B6" s="551"/>
      <c r="C6" s="366" t="s">
        <v>20</v>
      </c>
      <c r="D6" s="443"/>
      <c r="E6" s="444" t="s">
        <v>2184</v>
      </c>
      <c r="F6" s="447">
        <v>1</v>
      </c>
      <c r="G6" s="443">
        <v>1</v>
      </c>
      <c r="H6" s="443"/>
      <c r="I6" s="443"/>
      <c r="J6" s="443"/>
      <c r="K6" s="443"/>
      <c r="L6" s="443">
        <v>1</v>
      </c>
      <c r="M6" s="443">
        <v>1</v>
      </c>
      <c r="N6" s="448" t="s">
        <v>2191</v>
      </c>
      <c r="O6" s="447">
        <v>1</v>
      </c>
      <c r="P6" s="443"/>
      <c r="Q6" s="443"/>
      <c r="R6" s="443"/>
      <c r="S6" s="443"/>
      <c r="T6" s="443">
        <v>1</v>
      </c>
      <c r="U6" s="448">
        <v>1</v>
      </c>
      <c r="V6" s="447">
        <v>1</v>
      </c>
      <c r="W6" s="443"/>
      <c r="X6" s="448"/>
      <c r="Y6" t="s">
        <v>20</v>
      </c>
      <c r="AD6" t="s">
        <v>20</v>
      </c>
      <c r="AE6" t="s">
        <v>20</v>
      </c>
      <c r="AF6" s="467"/>
      <c r="AG6" s="467"/>
      <c r="AH6" s="467"/>
      <c r="AJ6" s="367" t="s">
        <v>22</v>
      </c>
      <c r="AK6" s="163" t="s">
        <v>84</v>
      </c>
      <c r="AM6" t="s">
        <v>20</v>
      </c>
      <c r="AR6" s="367" t="s">
        <v>22</v>
      </c>
      <c r="AS6" s="163" t="s">
        <v>84</v>
      </c>
      <c r="AT6" t="s">
        <v>20</v>
      </c>
    </row>
    <row r="7" spans="1:48" ht="21" customHeight="1">
      <c r="A7" s="551"/>
      <c r="B7" s="551"/>
      <c r="C7" s="366" t="s">
        <v>16</v>
      </c>
      <c r="D7" s="443"/>
      <c r="E7" s="444" t="str">
        <f>C7</f>
        <v>Q-5000</v>
      </c>
      <c r="F7" s="447">
        <v>1</v>
      </c>
      <c r="G7" s="443" t="s">
        <v>2184</v>
      </c>
      <c r="H7" s="443"/>
      <c r="I7" s="443"/>
      <c r="J7" s="443"/>
      <c r="K7" s="443"/>
      <c r="L7" s="445" t="s">
        <v>2278</v>
      </c>
      <c r="M7" s="443">
        <v>1</v>
      </c>
      <c r="N7" s="448">
        <v>1</v>
      </c>
      <c r="O7" s="447">
        <v>1</v>
      </c>
      <c r="P7" s="443"/>
      <c r="Q7" s="443"/>
      <c r="R7" s="443"/>
      <c r="S7" s="443"/>
      <c r="T7" s="492" t="s">
        <v>2279</v>
      </c>
      <c r="U7" s="448">
        <v>1</v>
      </c>
      <c r="V7" s="447">
        <v>1</v>
      </c>
      <c r="W7" s="443"/>
      <c r="X7" s="448"/>
      <c r="Y7" t="s">
        <v>16</v>
      </c>
      <c r="AD7" t="s">
        <v>18</v>
      </c>
      <c r="AE7" t="s">
        <v>18</v>
      </c>
      <c r="AF7" s="467"/>
      <c r="AG7" s="467"/>
      <c r="AH7" s="467"/>
      <c r="AJ7" t="s">
        <v>20</v>
      </c>
      <c r="AK7" s="163" t="s">
        <v>86</v>
      </c>
      <c r="AL7" s="163"/>
      <c r="AM7" t="s">
        <v>18</v>
      </c>
      <c r="AR7" t="s">
        <v>20</v>
      </c>
      <c r="AS7" s="163" t="s">
        <v>86</v>
      </c>
      <c r="AT7" t="s">
        <v>18</v>
      </c>
    </row>
    <row r="8" spans="1:48" ht="15.75" thickBot="1">
      <c r="A8" s="567"/>
      <c r="B8" s="562"/>
      <c r="C8" s="369" t="s">
        <v>18</v>
      </c>
      <c r="D8" s="460"/>
      <c r="E8" s="458" t="s">
        <v>2184</v>
      </c>
      <c r="F8" s="459">
        <v>1</v>
      </c>
      <c r="G8" s="460">
        <v>1</v>
      </c>
      <c r="H8" s="460"/>
      <c r="I8" s="460"/>
      <c r="J8" s="460"/>
      <c r="K8" s="460"/>
      <c r="L8" s="460" t="s">
        <v>2184</v>
      </c>
      <c r="M8" s="460">
        <v>1</v>
      </c>
      <c r="N8" s="461" t="s">
        <v>2191</v>
      </c>
      <c r="O8" s="459">
        <v>1</v>
      </c>
      <c r="P8" s="460"/>
      <c r="Q8" s="460"/>
      <c r="R8" s="460"/>
      <c r="S8" s="460"/>
      <c r="T8" s="460">
        <v>1</v>
      </c>
      <c r="U8" s="461">
        <v>1</v>
      </c>
      <c r="V8" s="459">
        <v>1</v>
      </c>
      <c r="W8" s="460"/>
      <c r="X8" s="461"/>
      <c r="Y8" t="s">
        <v>18</v>
      </c>
      <c r="AD8" t="s">
        <v>16</v>
      </c>
      <c r="AE8" t="s">
        <v>16</v>
      </c>
      <c r="AF8" s="467"/>
      <c r="AG8" s="467"/>
      <c r="AH8" s="467"/>
      <c r="AJ8" t="s">
        <v>74</v>
      </c>
      <c r="AK8" s="163" t="s">
        <v>88</v>
      </c>
      <c r="AL8" s="163"/>
      <c r="AM8" t="s">
        <v>16</v>
      </c>
      <c r="AR8" t="s">
        <v>74</v>
      </c>
      <c r="AS8" s="163" t="s">
        <v>88</v>
      </c>
      <c r="AT8" t="s">
        <v>16</v>
      </c>
    </row>
    <row r="9" spans="1:48" ht="15.75" thickBot="1">
      <c r="A9" s="374"/>
      <c r="B9" s="375"/>
      <c r="C9" s="367"/>
      <c r="D9" s="440"/>
      <c r="E9" s="477"/>
      <c r="F9" s="478"/>
      <c r="G9" s="479"/>
      <c r="H9" s="479"/>
      <c r="I9" s="479"/>
      <c r="J9" s="479"/>
      <c r="K9" s="479"/>
      <c r="L9" s="479"/>
      <c r="M9" s="479"/>
      <c r="N9" s="480"/>
      <c r="O9" s="478"/>
      <c r="P9" s="479"/>
      <c r="Q9" s="479"/>
      <c r="R9" s="479"/>
      <c r="S9" s="479"/>
      <c r="T9" s="479"/>
      <c r="U9" s="480"/>
      <c r="V9" s="478"/>
      <c r="W9" s="479"/>
      <c r="X9" s="480"/>
      <c r="AD9" t="s">
        <v>82</v>
      </c>
      <c r="AE9" t="s">
        <v>82</v>
      </c>
      <c r="AF9" s="467"/>
      <c r="AG9" s="467"/>
      <c r="AH9" s="467"/>
      <c r="AJ9" t="s">
        <v>76</v>
      </c>
      <c r="AK9" s="163" t="s">
        <v>90</v>
      </c>
      <c r="AM9" t="s">
        <v>82</v>
      </c>
      <c r="AR9" t="s">
        <v>76</v>
      </c>
      <c r="AS9" s="163" t="s">
        <v>90</v>
      </c>
      <c r="AT9" t="s">
        <v>82</v>
      </c>
      <c r="AV9" s="467"/>
    </row>
    <row r="10" spans="1:48" ht="15" customHeight="1">
      <c r="A10" s="568" t="s">
        <v>1506</v>
      </c>
      <c r="B10" s="561" t="s">
        <v>2195</v>
      </c>
      <c r="C10" s="449" t="s">
        <v>74</v>
      </c>
      <c r="D10" s="450"/>
      <c r="E10" s="444">
        <v>1</v>
      </c>
      <c r="F10" s="452">
        <v>1</v>
      </c>
      <c r="G10" s="453">
        <v>1</v>
      </c>
      <c r="H10" s="453">
        <v>1</v>
      </c>
      <c r="I10" s="453">
        <v>1</v>
      </c>
      <c r="J10" s="453">
        <v>1</v>
      </c>
      <c r="K10" s="453">
        <v>1</v>
      </c>
      <c r="L10" s="453">
        <v>1</v>
      </c>
      <c r="M10" s="453" t="s">
        <v>2184</v>
      </c>
      <c r="N10" s="454">
        <v>1</v>
      </c>
      <c r="O10" s="452">
        <v>1</v>
      </c>
      <c r="P10" s="453">
        <v>1</v>
      </c>
      <c r="Q10" s="453">
        <v>1</v>
      </c>
      <c r="R10" s="453">
        <v>1</v>
      </c>
      <c r="S10" s="453">
        <v>1</v>
      </c>
      <c r="T10" s="453">
        <v>1</v>
      </c>
      <c r="U10" s="454" t="s">
        <v>2191</v>
      </c>
      <c r="V10" s="453">
        <v>1</v>
      </c>
      <c r="W10" s="453">
        <v>1</v>
      </c>
      <c r="X10" s="454">
        <v>1</v>
      </c>
      <c r="Y10" s="439" t="s">
        <v>74</v>
      </c>
      <c r="Z10" s="439"/>
      <c r="AA10" s="439"/>
      <c r="AD10" t="s">
        <v>84</v>
      </c>
      <c r="AE10" t="s">
        <v>84</v>
      </c>
      <c r="AF10" s="467"/>
      <c r="AG10" s="467"/>
      <c r="AH10" s="467"/>
      <c r="AJ10" t="s">
        <v>80</v>
      </c>
      <c r="AM10" t="s">
        <v>84</v>
      </c>
      <c r="AR10" t="s">
        <v>80</v>
      </c>
      <c r="AT10" t="s">
        <v>84</v>
      </c>
      <c r="AV10" s="467"/>
    </row>
    <row r="11" spans="1:48">
      <c r="A11" s="543"/>
      <c r="B11" s="551"/>
      <c r="C11" s="157" t="s">
        <v>58</v>
      </c>
      <c r="D11" s="455"/>
      <c r="E11" s="444" t="s">
        <v>2258</v>
      </c>
      <c r="F11" s="447" t="s">
        <v>2191</v>
      </c>
      <c r="G11" s="443" t="s">
        <v>2191</v>
      </c>
      <c r="H11" s="443"/>
      <c r="I11" s="443"/>
      <c r="J11" s="443"/>
      <c r="K11" s="443"/>
      <c r="L11" s="443" t="s">
        <v>2191</v>
      </c>
      <c r="M11" s="443" t="s">
        <v>2191</v>
      </c>
      <c r="N11" s="448" t="s">
        <v>2191</v>
      </c>
      <c r="O11" s="447" t="s">
        <v>2191</v>
      </c>
      <c r="P11" s="443"/>
      <c r="Q11" s="443"/>
      <c r="R11" s="443"/>
      <c r="S11" s="443"/>
      <c r="T11" s="443" t="s">
        <v>2191</v>
      </c>
      <c r="U11" s="448" t="s">
        <v>2191</v>
      </c>
      <c r="V11" s="443" t="s">
        <v>2191</v>
      </c>
      <c r="W11" s="443"/>
      <c r="X11" s="448"/>
      <c r="Y11" t="s">
        <v>58</v>
      </c>
      <c r="AD11" t="s">
        <v>86</v>
      </c>
      <c r="AE11" t="s">
        <v>86</v>
      </c>
      <c r="AF11" s="467"/>
      <c r="AG11" s="467"/>
      <c r="AH11" s="467"/>
      <c r="AJ11" t="s">
        <v>90</v>
      </c>
      <c r="AM11" t="s">
        <v>86</v>
      </c>
      <c r="AR11" t="s">
        <v>90</v>
      </c>
      <c r="AT11" t="s">
        <v>86</v>
      </c>
      <c r="AV11" s="467"/>
    </row>
    <row r="12" spans="1:48" ht="30">
      <c r="A12" s="543"/>
      <c r="B12" s="551"/>
      <c r="C12" s="157" t="s">
        <v>60</v>
      </c>
      <c r="D12" s="446" t="s">
        <v>2259</v>
      </c>
      <c r="E12" s="444" t="s">
        <v>2184</v>
      </c>
      <c r="F12" s="447" t="s">
        <v>2184</v>
      </c>
      <c r="G12" s="443" t="s">
        <v>2191</v>
      </c>
      <c r="H12" s="443"/>
      <c r="I12" s="443"/>
      <c r="J12" s="443"/>
      <c r="K12" s="443"/>
      <c r="L12" s="443" t="s">
        <v>2191</v>
      </c>
      <c r="M12" s="443" t="s">
        <v>2191</v>
      </c>
      <c r="N12" s="448" t="s">
        <v>2191</v>
      </c>
      <c r="O12" s="447" t="s">
        <v>2191</v>
      </c>
      <c r="P12" s="443"/>
      <c r="Q12" s="443"/>
      <c r="R12" s="443"/>
      <c r="S12" s="443"/>
      <c r="T12" s="443" t="s">
        <v>2191</v>
      </c>
      <c r="U12" s="448" t="s">
        <v>2191</v>
      </c>
      <c r="V12" s="443" t="s">
        <v>2191</v>
      </c>
      <c r="W12" s="443"/>
      <c r="X12" s="448"/>
      <c r="Y12" t="s">
        <v>60</v>
      </c>
      <c r="AD12" t="s">
        <v>88</v>
      </c>
      <c r="AE12" t="s">
        <v>88</v>
      </c>
      <c r="AF12" s="467"/>
      <c r="AG12" s="467"/>
      <c r="AH12" s="467"/>
      <c r="AJ12" t="s">
        <v>106</v>
      </c>
      <c r="AM12" t="s">
        <v>88</v>
      </c>
      <c r="AR12" t="s">
        <v>106</v>
      </c>
      <c r="AT12" t="s">
        <v>88</v>
      </c>
      <c r="AV12" s="467"/>
    </row>
    <row r="13" spans="1:48">
      <c r="A13" s="543"/>
      <c r="B13" s="551"/>
      <c r="C13" s="449" t="s">
        <v>62</v>
      </c>
      <c r="D13" s="455"/>
      <c r="E13" s="444">
        <v>1</v>
      </c>
      <c r="F13" s="447">
        <v>1</v>
      </c>
      <c r="G13" s="443">
        <v>1</v>
      </c>
      <c r="H13" s="443">
        <v>1</v>
      </c>
      <c r="I13" s="443">
        <v>1</v>
      </c>
      <c r="J13" s="443">
        <v>1</v>
      </c>
      <c r="K13" s="443">
        <v>1</v>
      </c>
      <c r="L13" s="443">
        <v>1</v>
      </c>
      <c r="M13" s="443" t="s">
        <v>2184</v>
      </c>
      <c r="N13" s="448">
        <v>1</v>
      </c>
      <c r="O13" s="447">
        <v>1</v>
      </c>
      <c r="P13" s="443">
        <v>1</v>
      </c>
      <c r="Q13" s="443">
        <v>1</v>
      </c>
      <c r="R13" s="443">
        <v>1</v>
      </c>
      <c r="S13" s="443">
        <v>1</v>
      </c>
      <c r="T13" s="443">
        <v>1</v>
      </c>
      <c r="U13" s="448" t="s">
        <v>2191</v>
      </c>
      <c r="V13" s="443">
        <v>1</v>
      </c>
      <c r="W13" s="443">
        <v>1</v>
      </c>
      <c r="X13" s="448">
        <v>1</v>
      </c>
      <c r="Y13" s="439" t="s">
        <v>62</v>
      </c>
      <c r="Z13" s="439"/>
      <c r="AA13" s="439"/>
      <c r="AD13" t="s">
        <v>90</v>
      </c>
      <c r="AE13" t="s">
        <v>90</v>
      </c>
      <c r="AF13" s="467"/>
      <c r="AG13" s="467"/>
      <c r="AH13" s="467"/>
      <c r="AJ13" t="s">
        <v>108</v>
      </c>
      <c r="AM13" t="s">
        <v>90</v>
      </c>
      <c r="AR13" t="s">
        <v>108</v>
      </c>
      <c r="AT13" t="s">
        <v>90</v>
      </c>
      <c r="AV13" s="467"/>
    </row>
    <row r="14" spans="1:48">
      <c r="A14" s="543"/>
      <c r="B14" s="551"/>
      <c r="C14" s="449" t="s">
        <v>64</v>
      </c>
      <c r="D14" s="455"/>
      <c r="E14" s="444">
        <v>1</v>
      </c>
      <c r="F14" s="447">
        <v>1</v>
      </c>
      <c r="G14" s="443">
        <v>1</v>
      </c>
      <c r="H14" s="443">
        <v>1</v>
      </c>
      <c r="I14" s="443">
        <v>1</v>
      </c>
      <c r="J14" s="443">
        <v>1</v>
      </c>
      <c r="K14" s="443">
        <v>1</v>
      </c>
      <c r="L14" s="443">
        <v>1</v>
      </c>
      <c r="M14" s="443" t="s">
        <v>2184</v>
      </c>
      <c r="N14" s="448">
        <v>1</v>
      </c>
      <c r="O14" s="447">
        <v>1</v>
      </c>
      <c r="P14" s="443">
        <v>1</v>
      </c>
      <c r="Q14" s="443">
        <v>1</v>
      </c>
      <c r="R14" s="443">
        <v>1</v>
      </c>
      <c r="S14" s="443">
        <v>1</v>
      </c>
      <c r="T14" s="443">
        <v>1</v>
      </c>
      <c r="U14" s="448" t="s">
        <v>2191</v>
      </c>
      <c r="V14" s="443">
        <v>1</v>
      </c>
      <c r="W14" s="443">
        <v>1</v>
      </c>
      <c r="X14" s="448">
        <v>1</v>
      </c>
      <c r="Y14" s="439" t="s">
        <v>64</v>
      </c>
      <c r="Z14" s="439"/>
      <c r="AA14" s="439"/>
      <c r="AD14" t="s">
        <v>120</v>
      </c>
      <c r="AE14" t="s">
        <v>120</v>
      </c>
      <c r="AF14" s="467"/>
      <c r="AG14" s="467"/>
      <c r="AH14" s="467"/>
      <c r="AJ14" t="s">
        <v>110</v>
      </c>
      <c r="AM14" t="s">
        <v>120</v>
      </c>
      <c r="AR14" t="s">
        <v>110</v>
      </c>
      <c r="AT14" t="s">
        <v>120</v>
      </c>
      <c r="AV14" s="467"/>
    </row>
    <row r="15" spans="1:48">
      <c r="A15" s="543"/>
      <c r="B15" s="551"/>
      <c r="C15" s="449" t="s">
        <v>76</v>
      </c>
      <c r="D15" s="455"/>
      <c r="E15" s="444">
        <v>1</v>
      </c>
      <c r="F15" s="447">
        <v>1</v>
      </c>
      <c r="G15" s="443">
        <v>1</v>
      </c>
      <c r="H15" s="443">
        <v>1</v>
      </c>
      <c r="I15" s="443">
        <v>1</v>
      </c>
      <c r="J15" s="443">
        <v>1</v>
      </c>
      <c r="K15" s="443">
        <v>1</v>
      </c>
      <c r="L15" s="443">
        <v>1</v>
      </c>
      <c r="M15" s="443" t="s">
        <v>2184</v>
      </c>
      <c r="N15" s="448">
        <v>1</v>
      </c>
      <c r="O15" s="447">
        <v>1</v>
      </c>
      <c r="P15" s="443">
        <v>1</v>
      </c>
      <c r="Q15" s="443">
        <v>1</v>
      </c>
      <c r="R15" s="443">
        <v>1</v>
      </c>
      <c r="S15" s="443">
        <v>1</v>
      </c>
      <c r="T15" s="443">
        <v>1</v>
      </c>
      <c r="U15" s="448" t="s">
        <v>2191</v>
      </c>
      <c r="V15" s="443">
        <v>1</v>
      </c>
      <c r="W15" s="443">
        <v>1</v>
      </c>
      <c r="X15" s="448">
        <v>1</v>
      </c>
      <c r="Y15" s="439" t="s">
        <v>76</v>
      </c>
      <c r="Z15" s="439"/>
      <c r="AA15" s="439"/>
      <c r="AD15" t="s">
        <v>126</v>
      </c>
      <c r="AE15" t="s">
        <v>126</v>
      </c>
      <c r="AF15" s="467"/>
      <c r="AG15" s="467"/>
      <c r="AH15" s="467"/>
      <c r="AJ15" t="s">
        <v>112</v>
      </c>
      <c r="AM15" t="s">
        <v>126</v>
      </c>
      <c r="AR15" t="s">
        <v>112</v>
      </c>
      <c r="AT15" t="s">
        <v>126</v>
      </c>
      <c r="AV15" s="467"/>
    </row>
    <row r="16" spans="1:48">
      <c r="A16" s="543"/>
      <c r="B16" s="551"/>
      <c r="C16" s="157" t="s">
        <v>66</v>
      </c>
      <c r="D16" s="455"/>
      <c r="E16" s="444" t="s">
        <v>2258</v>
      </c>
      <c r="F16" s="447" t="s">
        <v>2191</v>
      </c>
      <c r="G16" s="443"/>
      <c r="H16" s="443"/>
      <c r="I16" s="443"/>
      <c r="J16" s="443"/>
      <c r="K16" s="443"/>
      <c r="L16" s="443" t="s">
        <v>2191</v>
      </c>
      <c r="M16" s="443" t="s">
        <v>2191</v>
      </c>
      <c r="N16" s="448" t="s">
        <v>2191</v>
      </c>
      <c r="O16" s="447" t="s">
        <v>2191</v>
      </c>
      <c r="P16" s="443"/>
      <c r="Q16" s="443"/>
      <c r="R16" s="443"/>
      <c r="S16" s="443"/>
      <c r="T16" s="443" t="s">
        <v>2191</v>
      </c>
      <c r="U16" s="448" t="s">
        <v>2191</v>
      </c>
      <c r="V16" s="443" t="s">
        <v>2191</v>
      </c>
      <c r="W16" s="443"/>
      <c r="X16" s="448"/>
      <c r="Y16" t="s">
        <v>66</v>
      </c>
      <c r="AD16" t="s">
        <v>130</v>
      </c>
      <c r="AE16" t="s">
        <v>130</v>
      </c>
      <c r="AF16" s="467"/>
      <c r="AG16" s="467"/>
      <c r="AH16" s="467"/>
      <c r="AJ16" t="s">
        <v>114</v>
      </c>
      <c r="AM16" t="s">
        <v>130</v>
      </c>
      <c r="AR16" t="s">
        <v>114</v>
      </c>
      <c r="AT16" t="s">
        <v>130</v>
      </c>
      <c r="AV16" s="467"/>
    </row>
    <row r="17" spans="1:48" ht="30">
      <c r="A17" s="543"/>
      <c r="B17" s="551"/>
      <c r="C17" s="157" t="s">
        <v>68</v>
      </c>
      <c r="D17" s="446" t="s">
        <v>2259</v>
      </c>
      <c r="E17" s="444" t="s">
        <v>2184</v>
      </c>
      <c r="F17" s="446" t="s">
        <v>2191</v>
      </c>
      <c r="G17" s="443"/>
      <c r="H17" s="443"/>
      <c r="I17" s="443"/>
      <c r="J17" s="443"/>
      <c r="K17" s="443"/>
      <c r="L17" s="443" t="s">
        <v>2191</v>
      </c>
      <c r="M17" s="443" t="s">
        <v>2191</v>
      </c>
      <c r="N17" s="448" t="s">
        <v>2191</v>
      </c>
      <c r="O17" s="447" t="s">
        <v>2191</v>
      </c>
      <c r="P17" s="443"/>
      <c r="Q17" s="443"/>
      <c r="R17" s="443"/>
      <c r="S17" s="443"/>
      <c r="T17" s="443" t="s">
        <v>2191</v>
      </c>
      <c r="U17" s="448" t="s">
        <v>2191</v>
      </c>
      <c r="V17" s="443" t="s">
        <v>2191</v>
      </c>
      <c r="W17" s="443"/>
      <c r="X17" s="448"/>
      <c r="Y17" t="s">
        <v>68</v>
      </c>
      <c r="AD17" t="s">
        <v>134</v>
      </c>
      <c r="AE17" t="s">
        <v>134</v>
      </c>
      <c r="AF17" s="467"/>
      <c r="AG17" s="467"/>
      <c r="AH17" s="467"/>
      <c r="AJ17" t="s">
        <v>116</v>
      </c>
      <c r="AM17" t="s">
        <v>134</v>
      </c>
      <c r="AR17" t="s">
        <v>116</v>
      </c>
      <c r="AT17" t="s">
        <v>134</v>
      </c>
      <c r="AV17" s="467"/>
    </row>
    <row r="18" spans="1:48">
      <c r="A18" s="543"/>
      <c r="B18" s="551"/>
      <c r="C18" s="449" t="s">
        <v>70</v>
      </c>
      <c r="D18" s="455"/>
      <c r="E18" s="444">
        <v>1</v>
      </c>
      <c r="F18" s="447">
        <v>1</v>
      </c>
      <c r="G18" s="443">
        <v>1</v>
      </c>
      <c r="H18" s="443">
        <v>1</v>
      </c>
      <c r="I18" s="443">
        <v>1</v>
      </c>
      <c r="J18" s="443">
        <v>1</v>
      </c>
      <c r="K18" s="443">
        <v>1</v>
      </c>
      <c r="L18" s="443">
        <v>1</v>
      </c>
      <c r="M18" s="443" t="s">
        <v>2184</v>
      </c>
      <c r="N18" s="448">
        <v>1</v>
      </c>
      <c r="O18" s="447">
        <v>1</v>
      </c>
      <c r="P18" s="443">
        <v>1</v>
      </c>
      <c r="Q18" s="443">
        <v>1</v>
      </c>
      <c r="R18" s="443">
        <v>1</v>
      </c>
      <c r="S18" s="443">
        <v>1</v>
      </c>
      <c r="T18" s="443">
        <v>1</v>
      </c>
      <c r="U18" s="448" t="s">
        <v>2191</v>
      </c>
      <c r="V18" s="443">
        <v>1</v>
      </c>
      <c r="W18" s="443">
        <v>1</v>
      </c>
      <c r="X18" s="448">
        <v>1</v>
      </c>
      <c r="Y18" s="439" t="s">
        <v>70</v>
      </c>
      <c r="Z18" s="439"/>
      <c r="AA18" s="439"/>
      <c r="AD18" t="s">
        <v>144</v>
      </c>
      <c r="AE18" t="s">
        <v>144</v>
      </c>
      <c r="AF18" s="467"/>
      <c r="AG18" s="467"/>
      <c r="AH18" s="467"/>
      <c r="AJ18" t="s">
        <v>118</v>
      </c>
      <c r="AM18" t="s">
        <v>144</v>
      </c>
      <c r="AR18" t="s">
        <v>118</v>
      </c>
      <c r="AT18" t="s">
        <v>144</v>
      </c>
      <c r="AV18" s="467"/>
    </row>
    <row r="19" spans="1:48">
      <c r="A19" s="543"/>
      <c r="B19" s="551"/>
      <c r="C19" s="449" t="s">
        <v>72</v>
      </c>
      <c r="D19" s="455"/>
      <c r="E19" s="444">
        <v>1</v>
      </c>
      <c r="F19" s="447">
        <v>1</v>
      </c>
      <c r="G19" s="443">
        <v>1</v>
      </c>
      <c r="H19" s="443">
        <v>1</v>
      </c>
      <c r="I19" s="443">
        <v>1</v>
      </c>
      <c r="J19" s="443">
        <v>1</v>
      </c>
      <c r="K19" s="443">
        <v>1</v>
      </c>
      <c r="L19" s="443">
        <v>1</v>
      </c>
      <c r="M19" s="443" t="s">
        <v>2184</v>
      </c>
      <c r="N19" s="448">
        <v>1</v>
      </c>
      <c r="O19" s="447">
        <v>1</v>
      </c>
      <c r="P19" s="443">
        <v>1</v>
      </c>
      <c r="Q19" s="443">
        <v>1</v>
      </c>
      <c r="R19" s="443">
        <v>1</v>
      </c>
      <c r="S19" s="443">
        <v>1</v>
      </c>
      <c r="T19" s="443">
        <v>1</v>
      </c>
      <c r="U19" s="448" t="s">
        <v>2191</v>
      </c>
      <c r="V19" s="443">
        <v>1</v>
      </c>
      <c r="W19" s="443">
        <v>1</v>
      </c>
      <c r="X19" s="448">
        <v>1</v>
      </c>
      <c r="Y19" s="439" t="s">
        <v>72</v>
      </c>
      <c r="Z19" s="439"/>
      <c r="AA19" s="439"/>
      <c r="AD19" t="s">
        <v>150</v>
      </c>
      <c r="AE19" t="s">
        <v>150</v>
      </c>
      <c r="AF19" s="467"/>
      <c r="AG19" s="467"/>
      <c r="AH19" s="467"/>
      <c r="AJ19" t="s">
        <v>132</v>
      </c>
      <c r="AM19" t="s">
        <v>150</v>
      </c>
      <c r="AR19" t="s">
        <v>132</v>
      </c>
      <c r="AT19" t="s">
        <v>150</v>
      </c>
    </row>
    <row r="20" spans="1:48">
      <c r="A20" s="543"/>
      <c r="B20" s="551"/>
      <c r="C20" s="158" t="s">
        <v>50</v>
      </c>
      <c r="D20" s="456"/>
      <c r="E20" s="444" t="s">
        <v>2258</v>
      </c>
      <c r="F20" s="447" t="s">
        <v>2191</v>
      </c>
      <c r="G20" s="443"/>
      <c r="H20" s="443"/>
      <c r="I20" s="443"/>
      <c r="J20" s="443"/>
      <c r="K20" s="443"/>
      <c r="L20" s="443" t="s">
        <v>2191</v>
      </c>
      <c r="M20" s="443" t="s">
        <v>2191</v>
      </c>
      <c r="N20" s="448" t="s">
        <v>2191</v>
      </c>
      <c r="O20" s="447" t="s">
        <v>2191</v>
      </c>
      <c r="P20" s="443"/>
      <c r="Q20" s="443"/>
      <c r="R20" s="443"/>
      <c r="S20" s="443"/>
      <c r="T20" s="443" t="s">
        <v>2191</v>
      </c>
      <c r="U20" s="448" t="s">
        <v>2191</v>
      </c>
      <c r="V20" s="443" t="s">
        <v>2191</v>
      </c>
      <c r="W20" s="443"/>
      <c r="X20" s="448"/>
      <c r="Y20" t="s">
        <v>50</v>
      </c>
      <c r="AD20" t="s">
        <v>154</v>
      </c>
      <c r="AE20" t="s">
        <v>154</v>
      </c>
      <c r="AF20" s="467"/>
      <c r="AG20" s="467"/>
      <c r="AH20" s="467"/>
      <c r="AJ20" t="s">
        <v>140</v>
      </c>
      <c r="AM20" t="s">
        <v>154</v>
      </c>
      <c r="AR20" t="s">
        <v>140</v>
      </c>
      <c r="AT20" t="s">
        <v>154</v>
      </c>
    </row>
    <row r="21" spans="1:48" ht="30">
      <c r="A21" s="543"/>
      <c r="B21" s="551"/>
      <c r="C21" s="158" t="s">
        <v>52</v>
      </c>
      <c r="D21" s="446" t="s">
        <v>2259</v>
      </c>
      <c r="E21" s="444" t="s">
        <v>2184</v>
      </c>
      <c r="F21" s="446" t="s">
        <v>2191</v>
      </c>
      <c r="G21" s="443"/>
      <c r="H21" s="443"/>
      <c r="I21" s="443"/>
      <c r="J21" s="443"/>
      <c r="K21" s="443"/>
      <c r="L21" s="443" t="s">
        <v>2191</v>
      </c>
      <c r="M21" s="443" t="s">
        <v>2191</v>
      </c>
      <c r="N21" s="448" t="s">
        <v>2191</v>
      </c>
      <c r="O21" s="447" t="s">
        <v>2191</v>
      </c>
      <c r="P21" s="443"/>
      <c r="Q21" s="443"/>
      <c r="R21" s="443"/>
      <c r="S21" s="443"/>
      <c r="T21" s="443" t="s">
        <v>2191</v>
      </c>
      <c r="U21" s="448" t="s">
        <v>2191</v>
      </c>
      <c r="V21" s="443" t="s">
        <v>2191</v>
      </c>
      <c r="W21" s="443"/>
      <c r="X21" s="448"/>
      <c r="Y21" t="s">
        <v>52</v>
      </c>
      <c r="AD21" t="s">
        <v>160</v>
      </c>
      <c r="AE21" t="s">
        <v>160</v>
      </c>
      <c r="AF21" s="467"/>
      <c r="AG21" s="467"/>
      <c r="AH21" s="467"/>
      <c r="AJ21" t="s">
        <v>142</v>
      </c>
      <c r="AM21" t="s">
        <v>160</v>
      </c>
      <c r="AR21" t="s">
        <v>142</v>
      </c>
      <c r="AT21" t="s">
        <v>160</v>
      </c>
    </row>
    <row r="22" spans="1:48">
      <c r="A22" s="543"/>
      <c r="B22" s="551"/>
      <c r="C22" s="457" t="s">
        <v>54</v>
      </c>
      <c r="D22" s="456"/>
      <c r="E22" s="444">
        <v>1</v>
      </c>
      <c r="F22" s="447">
        <v>1</v>
      </c>
      <c r="G22" s="443">
        <v>1</v>
      </c>
      <c r="H22" s="443">
        <v>1</v>
      </c>
      <c r="I22" s="443">
        <v>1</v>
      </c>
      <c r="J22" s="443">
        <v>1</v>
      </c>
      <c r="K22" s="443">
        <v>1</v>
      </c>
      <c r="L22" s="443">
        <v>1</v>
      </c>
      <c r="M22" s="443" t="s">
        <v>2184</v>
      </c>
      <c r="N22" s="448">
        <v>1</v>
      </c>
      <c r="O22" s="447">
        <v>1</v>
      </c>
      <c r="P22" s="443">
        <v>1</v>
      </c>
      <c r="Q22" s="443">
        <v>1</v>
      </c>
      <c r="R22" s="443">
        <v>1</v>
      </c>
      <c r="S22" s="443">
        <v>1</v>
      </c>
      <c r="T22" s="443">
        <v>1</v>
      </c>
      <c r="U22" s="448" t="s">
        <v>2191</v>
      </c>
      <c r="V22" s="443">
        <v>1</v>
      </c>
      <c r="W22" s="443">
        <v>1</v>
      </c>
      <c r="X22" s="448">
        <v>1</v>
      </c>
      <c r="Y22" s="439" t="s">
        <v>54</v>
      </c>
      <c r="Z22" s="439"/>
      <c r="AA22" s="439"/>
      <c r="AD22" t="s">
        <v>166</v>
      </c>
      <c r="AE22" t="s">
        <v>166</v>
      </c>
      <c r="AF22" s="467"/>
      <c r="AG22" s="467"/>
      <c r="AH22" s="467"/>
      <c r="AM22" t="s">
        <v>166</v>
      </c>
      <c r="AT22" t="s">
        <v>166</v>
      </c>
    </row>
    <row r="23" spans="1:48">
      <c r="A23" s="543"/>
      <c r="B23" s="551"/>
      <c r="C23" s="457" t="s">
        <v>56</v>
      </c>
      <c r="D23" s="456"/>
      <c r="E23" s="444">
        <v>1</v>
      </c>
      <c r="F23" s="447">
        <v>1</v>
      </c>
      <c r="G23" s="443">
        <v>1</v>
      </c>
      <c r="H23" s="443">
        <v>1</v>
      </c>
      <c r="I23" s="443">
        <v>1</v>
      </c>
      <c r="J23" s="443">
        <v>1</v>
      </c>
      <c r="K23" s="443">
        <v>1</v>
      </c>
      <c r="L23" s="443">
        <v>1</v>
      </c>
      <c r="M23" s="443" t="s">
        <v>2184</v>
      </c>
      <c r="N23" s="448">
        <v>1</v>
      </c>
      <c r="O23" s="447">
        <v>1</v>
      </c>
      <c r="P23" s="443">
        <v>1</v>
      </c>
      <c r="Q23" s="443">
        <v>1</v>
      </c>
      <c r="R23" s="443">
        <v>1</v>
      </c>
      <c r="S23" s="443">
        <v>1</v>
      </c>
      <c r="T23" s="443">
        <v>1</v>
      </c>
      <c r="U23" s="448" t="s">
        <v>2191</v>
      </c>
      <c r="V23" s="443">
        <v>1</v>
      </c>
      <c r="W23" s="443">
        <v>1</v>
      </c>
      <c r="X23" s="448">
        <v>1</v>
      </c>
      <c r="Y23" s="439" t="s">
        <v>56</v>
      </c>
      <c r="Z23" s="439"/>
      <c r="AA23" s="439"/>
      <c r="AD23" t="s">
        <v>170</v>
      </c>
      <c r="AE23" t="s">
        <v>170</v>
      </c>
      <c r="AF23" s="467"/>
      <c r="AG23" s="467"/>
      <c r="AH23" s="467"/>
      <c r="AM23" t="s">
        <v>170</v>
      </c>
      <c r="AT23" t="s">
        <v>170</v>
      </c>
    </row>
    <row r="24" spans="1:48">
      <c r="A24" s="543"/>
      <c r="B24" s="551"/>
      <c r="C24" s="158" t="s">
        <v>42</v>
      </c>
      <c r="D24" s="456"/>
      <c r="E24" s="444" t="s">
        <v>2258</v>
      </c>
      <c r="F24" s="447" t="s">
        <v>2191</v>
      </c>
      <c r="G24" s="443"/>
      <c r="H24" s="443"/>
      <c r="I24" s="443"/>
      <c r="J24" s="443"/>
      <c r="K24" s="443"/>
      <c r="L24" s="443" t="s">
        <v>2191</v>
      </c>
      <c r="M24" s="443" t="s">
        <v>2191</v>
      </c>
      <c r="N24" s="448" t="s">
        <v>2191</v>
      </c>
      <c r="O24" s="447" t="s">
        <v>2191</v>
      </c>
      <c r="P24" s="443"/>
      <c r="Q24" s="443"/>
      <c r="R24" s="443"/>
      <c r="S24" s="443"/>
      <c r="T24" s="443" t="s">
        <v>2191</v>
      </c>
      <c r="U24" s="448" t="s">
        <v>2191</v>
      </c>
      <c r="V24" s="443" t="s">
        <v>2191</v>
      </c>
      <c r="W24" s="443"/>
      <c r="X24" s="448"/>
      <c r="Y24" t="s">
        <v>42</v>
      </c>
      <c r="AD24" t="s">
        <v>176</v>
      </c>
      <c r="AE24" t="s">
        <v>176</v>
      </c>
      <c r="AF24" s="467"/>
      <c r="AG24" s="467"/>
      <c r="AH24" s="467"/>
      <c r="AM24" t="s">
        <v>176</v>
      </c>
      <c r="AT24" t="s">
        <v>176</v>
      </c>
    </row>
    <row r="25" spans="1:48" ht="30">
      <c r="A25" s="543"/>
      <c r="B25" s="551"/>
      <c r="C25" s="158" t="s">
        <v>44</v>
      </c>
      <c r="D25" s="446" t="s">
        <v>2259</v>
      </c>
      <c r="E25" s="444" t="s">
        <v>2184</v>
      </c>
      <c r="F25" s="446" t="s">
        <v>2191</v>
      </c>
      <c r="G25" s="443"/>
      <c r="H25" s="443"/>
      <c r="I25" s="443"/>
      <c r="J25" s="443"/>
      <c r="K25" s="443"/>
      <c r="L25" s="443" t="s">
        <v>2191</v>
      </c>
      <c r="M25" s="443" t="s">
        <v>2191</v>
      </c>
      <c r="N25" s="448" t="s">
        <v>2191</v>
      </c>
      <c r="O25" s="447" t="s">
        <v>2191</v>
      </c>
      <c r="P25" s="443"/>
      <c r="Q25" s="443"/>
      <c r="R25" s="443"/>
      <c r="S25" s="443"/>
      <c r="T25" s="443" t="s">
        <v>2191</v>
      </c>
      <c r="U25" s="448" t="s">
        <v>2191</v>
      </c>
      <c r="V25" s="443" t="s">
        <v>2191</v>
      </c>
      <c r="W25" s="443"/>
      <c r="X25" s="448"/>
      <c r="Y25" t="s">
        <v>44</v>
      </c>
      <c r="AF25" s="467"/>
      <c r="AG25" s="467"/>
      <c r="AH25" s="467"/>
    </row>
    <row r="26" spans="1:48">
      <c r="A26" s="543"/>
      <c r="B26" s="551"/>
      <c r="C26" s="457" t="s">
        <v>46</v>
      </c>
      <c r="D26" s="456"/>
      <c r="E26" s="444">
        <v>1</v>
      </c>
      <c r="F26" s="447">
        <v>1</v>
      </c>
      <c r="G26" s="443">
        <v>1</v>
      </c>
      <c r="H26" s="443">
        <v>1</v>
      </c>
      <c r="I26" s="443">
        <v>1</v>
      </c>
      <c r="J26" s="443">
        <v>1</v>
      </c>
      <c r="K26" s="443">
        <v>1</v>
      </c>
      <c r="L26" s="443">
        <v>1</v>
      </c>
      <c r="M26" s="443" t="s">
        <v>2184</v>
      </c>
      <c r="N26" s="448">
        <v>1</v>
      </c>
      <c r="O26" s="447">
        <v>1</v>
      </c>
      <c r="P26" s="443">
        <v>1</v>
      </c>
      <c r="Q26" s="443">
        <v>1</v>
      </c>
      <c r="R26" s="443">
        <v>1</v>
      </c>
      <c r="S26" s="443">
        <v>1</v>
      </c>
      <c r="T26" s="443">
        <v>1</v>
      </c>
      <c r="U26" s="448" t="s">
        <v>2191</v>
      </c>
      <c r="V26" s="443">
        <v>1</v>
      </c>
      <c r="W26" s="443">
        <v>1</v>
      </c>
      <c r="X26" s="448">
        <v>1</v>
      </c>
      <c r="Y26" s="439" t="s">
        <v>46</v>
      </c>
      <c r="Z26" s="439"/>
      <c r="AA26" s="439"/>
      <c r="AF26" s="467"/>
      <c r="AG26" s="467"/>
      <c r="AH26" s="467"/>
    </row>
    <row r="27" spans="1:48">
      <c r="A27" s="543"/>
      <c r="B27" s="562"/>
      <c r="C27" s="457" t="s">
        <v>48</v>
      </c>
      <c r="D27" s="167"/>
      <c r="E27" s="444">
        <v>1</v>
      </c>
      <c r="F27" s="459">
        <v>1</v>
      </c>
      <c r="G27" s="460">
        <v>1</v>
      </c>
      <c r="H27" s="460">
        <v>1</v>
      </c>
      <c r="I27" s="460">
        <v>1</v>
      </c>
      <c r="J27" s="460">
        <v>1</v>
      </c>
      <c r="K27" s="460">
        <v>1</v>
      </c>
      <c r="L27" s="460">
        <v>1</v>
      </c>
      <c r="M27" s="460" t="s">
        <v>2184</v>
      </c>
      <c r="N27" s="461">
        <v>1</v>
      </c>
      <c r="O27" s="459">
        <v>1</v>
      </c>
      <c r="P27" s="460">
        <v>1</v>
      </c>
      <c r="Q27" s="460">
        <v>1</v>
      </c>
      <c r="R27" s="460">
        <v>1</v>
      </c>
      <c r="S27" s="460">
        <v>1</v>
      </c>
      <c r="T27" s="460">
        <v>1</v>
      </c>
      <c r="U27" s="461" t="s">
        <v>2191</v>
      </c>
      <c r="V27" s="460">
        <v>1</v>
      </c>
      <c r="W27" s="460">
        <v>1</v>
      </c>
      <c r="X27" s="461">
        <v>1</v>
      </c>
      <c r="Y27" s="439" t="s">
        <v>48</v>
      </c>
      <c r="Z27" s="439"/>
      <c r="AA27" s="439"/>
      <c r="AF27" s="467"/>
      <c r="AG27" s="467"/>
      <c r="AH27" s="467"/>
    </row>
    <row r="28" spans="1:48">
      <c r="A28" s="543"/>
      <c r="B28" s="380"/>
      <c r="C28" s="380"/>
      <c r="D28" s="443"/>
      <c r="E28" s="442"/>
      <c r="F28" s="447"/>
      <c r="G28" s="443"/>
      <c r="H28" s="443"/>
      <c r="I28" s="443"/>
      <c r="J28" s="443"/>
      <c r="K28" s="443"/>
      <c r="L28" s="443"/>
      <c r="M28" s="443"/>
      <c r="N28" s="448"/>
      <c r="O28" s="447"/>
      <c r="P28" s="443"/>
      <c r="Q28" s="443"/>
      <c r="R28" s="443"/>
      <c r="S28" s="443"/>
      <c r="T28" s="443"/>
      <c r="U28" s="448"/>
      <c r="V28" s="443"/>
      <c r="W28" s="443"/>
      <c r="X28" s="443"/>
      <c r="AF28" s="467"/>
      <c r="AG28" s="467"/>
      <c r="AH28" s="467"/>
    </row>
    <row r="29" spans="1:48" ht="15" customHeight="1">
      <c r="A29" s="543"/>
      <c r="B29" s="561" t="s">
        <v>2196</v>
      </c>
      <c r="C29" s="154" t="s">
        <v>82</v>
      </c>
      <c r="D29" s="168"/>
      <c r="E29" s="451" t="s">
        <v>2191</v>
      </c>
      <c r="F29" s="452" t="s">
        <v>2191</v>
      </c>
      <c r="G29" s="453">
        <v>1</v>
      </c>
      <c r="H29" s="453"/>
      <c r="I29" s="453"/>
      <c r="J29" s="453"/>
      <c r="K29" s="453"/>
      <c r="L29" s="453" t="s">
        <v>2191</v>
      </c>
      <c r="M29" s="453">
        <v>1</v>
      </c>
      <c r="N29" s="454" t="s">
        <v>2191</v>
      </c>
      <c r="O29" s="452">
        <v>1</v>
      </c>
      <c r="P29" s="453"/>
      <c r="Q29" s="453"/>
      <c r="R29" s="453"/>
      <c r="S29" s="453"/>
      <c r="T29" s="453" t="s">
        <v>2191</v>
      </c>
      <c r="U29" s="454">
        <v>1</v>
      </c>
      <c r="V29" s="453">
        <v>1</v>
      </c>
      <c r="W29" s="453"/>
      <c r="X29" s="454"/>
      <c r="Y29" t="s">
        <v>82</v>
      </c>
      <c r="AF29" s="467"/>
      <c r="AG29" s="467"/>
      <c r="AH29" s="467"/>
    </row>
    <row r="30" spans="1:48">
      <c r="A30" s="543"/>
      <c r="B30" s="551"/>
      <c r="C30" s="154" t="s">
        <v>84</v>
      </c>
      <c r="D30" s="456"/>
      <c r="E30" s="444" t="s">
        <v>2191</v>
      </c>
      <c r="F30" s="447" t="s">
        <v>2191</v>
      </c>
      <c r="G30" s="443">
        <v>1</v>
      </c>
      <c r="H30" s="443"/>
      <c r="I30" s="443"/>
      <c r="J30" s="443"/>
      <c r="K30" s="443"/>
      <c r="L30" s="443" t="s">
        <v>2191</v>
      </c>
      <c r="M30" s="443">
        <v>1</v>
      </c>
      <c r="N30" s="448" t="s">
        <v>2191</v>
      </c>
      <c r="O30" s="447">
        <v>1</v>
      </c>
      <c r="P30" s="443"/>
      <c r="Q30" s="443"/>
      <c r="R30" s="443"/>
      <c r="S30" s="443"/>
      <c r="T30" s="443" t="s">
        <v>2191</v>
      </c>
      <c r="U30" s="448">
        <v>1</v>
      </c>
      <c r="V30" s="443">
        <v>1</v>
      </c>
      <c r="W30" s="443"/>
      <c r="X30" s="448"/>
      <c r="Y30" t="s">
        <v>84</v>
      </c>
      <c r="AF30" s="467"/>
      <c r="AG30" s="467"/>
      <c r="AH30" s="467"/>
    </row>
    <row r="31" spans="1:48">
      <c r="A31" s="543"/>
      <c r="B31" s="551"/>
      <c r="C31" s="154" t="s">
        <v>86</v>
      </c>
      <c r="D31" s="456"/>
      <c r="E31" s="444" t="s">
        <v>2191</v>
      </c>
      <c r="F31" s="447" t="s">
        <v>2191</v>
      </c>
      <c r="G31" s="443">
        <v>1</v>
      </c>
      <c r="H31" s="443"/>
      <c r="I31" s="443"/>
      <c r="J31" s="443"/>
      <c r="K31" s="443"/>
      <c r="L31" s="443" t="s">
        <v>2191</v>
      </c>
      <c r="M31" s="443">
        <v>1</v>
      </c>
      <c r="N31" s="448" t="s">
        <v>2191</v>
      </c>
      <c r="O31" s="447">
        <v>1</v>
      </c>
      <c r="P31" s="443"/>
      <c r="Q31" s="443"/>
      <c r="R31" s="443"/>
      <c r="S31" s="443"/>
      <c r="T31" s="443" t="s">
        <v>2191</v>
      </c>
      <c r="U31" s="448">
        <v>1</v>
      </c>
      <c r="V31" s="443">
        <v>1</v>
      </c>
      <c r="W31" s="443"/>
      <c r="X31" s="448"/>
      <c r="Y31" t="s">
        <v>86</v>
      </c>
      <c r="AF31" s="467"/>
      <c r="AG31" s="467"/>
      <c r="AH31" s="467"/>
    </row>
    <row r="32" spans="1:48">
      <c r="A32" s="543"/>
      <c r="B32" s="551"/>
      <c r="C32" s="154" t="s">
        <v>88</v>
      </c>
      <c r="D32" s="456"/>
      <c r="E32" s="444" t="s">
        <v>2191</v>
      </c>
      <c r="F32" s="447" t="s">
        <v>2191</v>
      </c>
      <c r="G32" s="443">
        <v>1</v>
      </c>
      <c r="H32" s="443"/>
      <c r="I32" s="443"/>
      <c r="J32" s="443"/>
      <c r="K32" s="443"/>
      <c r="L32" s="443" t="s">
        <v>2191</v>
      </c>
      <c r="M32" s="443">
        <v>1</v>
      </c>
      <c r="N32" s="448" t="s">
        <v>2191</v>
      </c>
      <c r="O32" s="447">
        <v>1</v>
      </c>
      <c r="P32" s="443"/>
      <c r="Q32" s="443"/>
      <c r="R32" s="443"/>
      <c r="S32" s="443"/>
      <c r="T32" s="443" t="s">
        <v>2191</v>
      </c>
      <c r="U32" s="448">
        <v>1</v>
      </c>
      <c r="V32" s="443">
        <v>1</v>
      </c>
      <c r="W32" s="443"/>
      <c r="X32" s="448"/>
      <c r="Y32" t="s">
        <v>88</v>
      </c>
      <c r="AF32" s="467"/>
      <c r="AG32" s="467"/>
      <c r="AH32" s="467"/>
    </row>
    <row r="33" spans="1:48">
      <c r="A33" s="543"/>
      <c r="B33" s="551"/>
      <c r="C33" s="457" t="s">
        <v>106</v>
      </c>
      <c r="D33" s="456"/>
      <c r="E33" s="444">
        <v>1</v>
      </c>
      <c r="F33" s="447">
        <v>1</v>
      </c>
      <c r="G33" s="443">
        <v>1</v>
      </c>
      <c r="H33" s="443">
        <v>1</v>
      </c>
      <c r="I33" s="443">
        <v>1</v>
      </c>
      <c r="J33" s="443">
        <v>1</v>
      </c>
      <c r="K33" s="443">
        <v>1</v>
      </c>
      <c r="L33" s="443">
        <v>1</v>
      </c>
      <c r="M33" s="443">
        <v>1</v>
      </c>
      <c r="N33" s="448">
        <v>1</v>
      </c>
      <c r="O33" s="447">
        <v>1</v>
      </c>
      <c r="P33" s="443">
        <v>1</v>
      </c>
      <c r="Q33" s="443">
        <v>1</v>
      </c>
      <c r="R33" s="443">
        <v>1</v>
      </c>
      <c r="S33" s="443">
        <v>1</v>
      </c>
      <c r="T33" s="443">
        <v>1</v>
      </c>
      <c r="U33" s="448">
        <v>1</v>
      </c>
      <c r="V33" s="443">
        <v>1</v>
      </c>
      <c r="W33" s="443">
        <v>1</v>
      </c>
      <c r="X33" s="448">
        <v>1</v>
      </c>
      <c r="Y33" s="462" t="s">
        <v>106</v>
      </c>
      <c r="Z33" s="462"/>
      <c r="AA33" s="439"/>
      <c r="AF33" s="467"/>
      <c r="AG33" s="467"/>
      <c r="AH33" s="467"/>
    </row>
    <row r="34" spans="1:48">
      <c r="A34" s="543"/>
      <c r="B34" s="551"/>
      <c r="C34" s="457" t="s">
        <v>108</v>
      </c>
      <c r="D34" s="456"/>
      <c r="E34" s="444">
        <v>1</v>
      </c>
      <c r="F34" s="447">
        <v>1</v>
      </c>
      <c r="G34" s="443">
        <v>1</v>
      </c>
      <c r="H34" s="443">
        <v>1</v>
      </c>
      <c r="I34" s="443">
        <v>1</v>
      </c>
      <c r="J34" s="443">
        <v>1</v>
      </c>
      <c r="K34" s="443">
        <v>1</v>
      </c>
      <c r="L34" s="443">
        <v>1</v>
      </c>
      <c r="M34" s="443">
        <v>1</v>
      </c>
      <c r="N34" s="448">
        <v>1</v>
      </c>
      <c r="O34" s="447">
        <v>1</v>
      </c>
      <c r="P34" s="443">
        <v>1</v>
      </c>
      <c r="Q34" s="443">
        <v>1</v>
      </c>
      <c r="R34" s="443">
        <v>1</v>
      </c>
      <c r="S34" s="443">
        <v>1</v>
      </c>
      <c r="T34" s="443">
        <v>1</v>
      </c>
      <c r="U34" s="448">
        <v>1</v>
      </c>
      <c r="V34" s="443">
        <v>1</v>
      </c>
      <c r="W34" s="443">
        <v>1</v>
      </c>
      <c r="X34" s="448">
        <v>1</v>
      </c>
      <c r="Y34" s="462" t="s">
        <v>108</v>
      </c>
      <c r="Z34" s="462"/>
      <c r="AA34" s="439"/>
      <c r="AF34" s="467"/>
      <c r="AG34" s="467"/>
      <c r="AH34" s="467"/>
    </row>
    <row r="35" spans="1:48">
      <c r="A35" s="543"/>
      <c r="B35" s="551"/>
      <c r="C35" s="457" t="s">
        <v>110</v>
      </c>
      <c r="D35" s="456"/>
      <c r="E35" s="444">
        <v>1</v>
      </c>
      <c r="F35" s="447">
        <v>1</v>
      </c>
      <c r="G35" s="443">
        <v>1</v>
      </c>
      <c r="H35" s="443">
        <v>1</v>
      </c>
      <c r="I35" s="443">
        <v>1</v>
      </c>
      <c r="J35" s="443">
        <v>1</v>
      </c>
      <c r="K35" s="443">
        <v>1</v>
      </c>
      <c r="L35" s="443">
        <v>1</v>
      </c>
      <c r="M35" s="443">
        <v>1</v>
      </c>
      <c r="N35" s="448">
        <v>1</v>
      </c>
      <c r="O35" s="447">
        <v>1</v>
      </c>
      <c r="P35" s="443">
        <v>1</v>
      </c>
      <c r="Q35" s="443">
        <v>1</v>
      </c>
      <c r="R35" s="443">
        <v>1</v>
      </c>
      <c r="S35" s="443">
        <v>1</v>
      </c>
      <c r="T35" s="443">
        <v>1</v>
      </c>
      <c r="U35" s="448">
        <v>1</v>
      </c>
      <c r="V35" s="443">
        <v>1</v>
      </c>
      <c r="W35" s="443">
        <v>1</v>
      </c>
      <c r="X35" s="448">
        <v>1</v>
      </c>
      <c r="Y35" s="462" t="s">
        <v>110</v>
      </c>
      <c r="Z35" s="462"/>
      <c r="AA35" s="439"/>
      <c r="AF35" s="467"/>
      <c r="AG35" s="467"/>
      <c r="AH35" s="467"/>
    </row>
    <row r="36" spans="1:48">
      <c r="A36" s="543"/>
      <c r="B36" s="551"/>
      <c r="C36" s="457" t="s">
        <v>112</v>
      </c>
      <c r="D36" s="456"/>
      <c r="E36" s="444">
        <v>1</v>
      </c>
      <c r="F36" s="447">
        <v>1</v>
      </c>
      <c r="G36" s="443">
        <v>1</v>
      </c>
      <c r="H36" s="443">
        <v>1</v>
      </c>
      <c r="I36" s="443">
        <v>1</v>
      </c>
      <c r="J36" s="443">
        <v>1</v>
      </c>
      <c r="K36" s="443">
        <v>1</v>
      </c>
      <c r="L36" s="443">
        <v>1</v>
      </c>
      <c r="M36" s="443">
        <v>1</v>
      </c>
      <c r="N36" s="448">
        <v>1</v>
      </c>
      <c r="O36" s="447">
        <v>1</v>
      </c>
      <c r="P36" s="443">
        <v>1</v>
      </c>
      <c r="Q36" s="443">
        <v>1</v>
      </c>
      <c r="R36" s="443">
        <v>1</v>
      </c>
      <c r="S36" s="443">
        <v>1</v>
      </c>
      <c r="T36" s="443">
        <v>1</v>
      </c>
      <c r="U36" s="448">
        <v>1</v>
      </c>
      <c r="V36" s="443">
        <v>1</v>
      </c>
      <c r="W36" s="443">
        <v>1</v>
      </c>
      <c r="X36" s="448">
        <v>1</v>
      </c>
      <c r="Y36" s="462" t="s">
        <v>112</v>
      </c>
      <c r="Z36" s="462"/>
      <c r="AA36" s="439"/>
      <c r="AF36" s="467"/>
      <c r="AG36" s="467"/>
      <c r="AH36" s="467"/>
    </row>
    <row r="37" spans="1:48">
      <c r="A37" s="543"/>
      <c r="B37" s="551"/>
      <c r="C37" s="457" t="s">
        <v>114</v>
      </c>
      <c r="D37" s="456"/>
      <c r="E37" s="444">
        <v>1</v>
      </c>
      <c r="F37" s="447">
        <v>1</v>
      </c>
      <c r="G37" s="443">
        <v>1</v>
      </c>
      <c r="H37" s="443">
        <v>1</v>
      </c>
      <c r="I37" s="443">
        <v>1</v>
      </c>
      <c r="J37" s="443">
        <v>1</v>
      </c>
      <c r="K37" s="443">
        <v>1</v>
      </c>
      <c r="L37" s="443">
        <v>1</v>
      </c>
      <c r="M37" s="443">
        <v>1</v>
      </c>
      <c r="N37" s="448">
        <v>1</v>
      </c>
      <c r="O37" s="447">
        <v>1</v>
      </c>
      <c r="P37" s="443">
        <v>1</v>
      </c>
      <c r="Q37" s="443">
        <v>1</v>
      </c>
      <c r="R37" s="443">
        <v>1</v>
      </c>
      <c r="S37" s="443">
        <v>1</v>
      </c>
      <c r="T37" s="443">
        <v>1</v>
      </c>
      <c r="U37" s="448">
        <v>1</v>
      </c>
      <c r="V37" s="443">
        <v>1</v>
      </c>
      <c r="W37" s="443">
        <v>1</v>
      </c>
      <c r="X37" s="448">
        <v>1</v>
      </c>
      <c r="Y37" s="462" t="s">
        <v>114</v>
      </c>
      <c r="Z37" s="462"/>
      <c r="AA37" s="439"/>
      <c r="AF37" s="467"/>
      <c r="AG37" s="467"/>
      <c r="AH37" s="467"/>
    </row>
    <row r="38" spans="1:48">
      <c r="A38" s="543"/>
      <c r="B38" s="551"/>
      <c r="C38" s="457" t="s">
        <v>116</v>
      </c>
      <c r="D38" s="456"/>
      <c r="E38" s="444">
        <v>1</v>
      </c>
      <c r="F38" s="447">
        <v>1</v>
      </c>
      <c r="G38" s="443">
        <v>1</v>
      </c>
      <c r="H38" s="443">
        <v>1</v>
      </c>
      <c r="I38" s="443">
        <v>1</v>
      </c>
      <c r="J38" s="443">
        <v>1</v>
      </c>
      <c r="K38" s="443">
        <v>1</v>
      </c>
      <c r="L38" s="443">
        <v>1</v>
      </c>
      <c r="M38" s="443">
        <v>1</v>
      </c>
      <c r="N38" s="448">
        <v>1</v>
      </c>
      <c r="O38" s="447">
        <v>1</v>
      </c>
      <c r="P38" s="443">
        <v>1</v>
      </c>
      <c r="Q38" s="443">
        <v>1</v>
      </c>
      <c r="R38" s="443">
        <v>1</v>
      </c>
      <c r="S38" s="443">
        <v>1</v>
      </c>
      <c r="T38" s="443">
        <v>1</v>
      </c>
      <c r="U38" s="448">
        <v>1</v>
      </c>
      <c r="V38" s="443">
        <v>1</v>
      </c>
      <c r="W38" s="443">
        <v>1</v>
      </c>
      <c r="X38" s="448">
        <v>1</v>
      </c>
      <c r="Y38" s="462" t="s">
        <v>116</v>
      </c>
      <c r="Z38" s="462"/>
      <c r="AA38" s="439"/>
      <c r="AF38" s="467"/>
      <c r="AG38" s="467"/>
      <c r="AH38" s="467"/>
    </row>
    <row r="39" spans="1:48">
      <c r="A39" s="543"/>
      <c r="B39" s="551"/>
      <c r="C39" s="154" t="s">
        <v>94</v>
      </c>
      <c r="D39" s="446" t="s">
        <v>2260</v>
      </c>
      <c r="E39" s="444" t="s">
        <v>2191</v>
      </c>
      <c r="F39" s="447" t="s">
        <v>2191</v>
      </c>
      <c r="G39" s="443" t="s">
        <v>2191</v>
      </c>
      <c r="H39" s="443"/>
      <c r="I39" s="443"/>
      <c r="J39" s="443"/>
      <c r="K39" s="443"/>
      <c r="L39" s="443" t="s">
        <v>2191</v>
      </c>
      <c r="M39" s="443" t="s">
        <v>2191</v>
      </c>
      <c r="N39" s="448" t="s">
        <v>2191</v>
      </c>
      <c r="O39" s="447" t="s">
        <v>2191</v>
      </c>
      <c r="P39" s="443"/>
      <c r="Q39" s="443"/>
      <c r="R39" s="443"/>
      <c r="S39" s="443"/>
      <c r="T39" s="443"/>
      <c r="U39" s="448" t="s">
        <v>2261</v>
      </c>
      <c r="V39" s="443" t="s">
        <v>2191</v>
      </c>
      <c r="W39" s="443"/>
      <c r="X39" s="448"/>
      <c r="Y39" t="s">
        <v>94</v>
      </c>
      <c r="AF39" s="467"/>
      <c r="AG39" s="467"/>
      <c r="AH39" s="467"/>
    </row>
    <row r="40" spans="1:48">
      <c r="A40" s="543"/>
      <c r="B40" s="551"/>
      <c r="C40" s="457" t="s">
        <v>118</v>
      </c>
      <c r="D40" s="456"/>
      <c r="E40" s="444">
        <v>1</v>
      </c>
      <c r="F40" s="447">
        <v>1</v>
      </c>
      <c r="G40" s="443">
        <v>1</v>
      </c>
      <c r="H40" s="443">
        <v>1</v>
      </c>
      <c r="I40" s="443">
        <v>1</v>
      </c>
      <c r="J40" s="443">
        <v>1</v>
      </c>
      <c r="K40" s="443">
        <v>1</v>
      </c>
      <c r="L40" s="443">
        <v>1</v>
      </c>
      <c r="M40" s="443">
        <v>1</v>
      </c>
      <c r="N40" s="448">
        <v>1</v>
      </c>
      <c r="O40" s="447">
        <v>1</v>
      </c>
      <c r="P40" s="443">
        <v>1</v>
      </c>
      <c r="Q40" s="443">
        <v>1</v>
      </c>
      <c r="R40" s="443">
        <v>1</v>
      </c>
      <c r="S40" s="443">
        <v>1</v>
      </c>
      <c r="T40" s="443">
        <v>1</v>
      </c>
      <c r="U40" s="448">
        <v>1</v>
      </c>
      <c r="V40" s="443">
        <v>1</v>
      </c>
      <c r="W40" s="443">
        <v>1</v>
      </c>
      <c r="X40" s="448">
        <v>1</v>
      </c>
      <c r="Y40" s="439" t="s">
        <v>118</v>
      </c>
      <c r="Z40" s="439"/>
      <c r="AA40" s="439"/>
      <c r="AF40" s="467"/>
      <c r="AG40" s="467"/>
      <c r="AH40" s="467"/>
    </row>
    <row r="41" spans="1:48" ht="30">
      <c r="A41" s="543"/>
      <c r="B41" s="551"/>
      <c r="C41" s="154" t="s">
        <v>96</v>
      </c>
      <c r="D41" s="446" t="s">
        <v>2259</v>
      </c>
      <c r="E41" s="444" t="s">
        <v>2191</v>
      </c>
      <c r="F41" s="447" t="s">
        <v>2191</v>
      </c>
      <c r="G41" s="443" t="s">
        <v>2191</v>
      </c>
      <c r="H41" s="443"/>
      <c r="I41" s="443"/>
      <c r="J41" s="443"/>
      <c r="K41" s="443"/>
      <c r="L41" s="443" t="s">
        <v>2191</v>
      </c>
      <c r="M41" s="443" t="s">
        <v>2261</v>
      </c>
      <c r="N41" s="448" t="s">
        <v>2191</v>
      </c>
      <c r="O41" s="447" t="s">
        <v>2191</v>
      </c>
      <c r="P41" s="443"/>
      <c r="Q41" s="443"/>
      <c r="R41" s="443"/>
      <c r="S41" s="443"/>
      <c r="T41" s="443" t="s">
        <v>2191</v>
      </c>
      <c r="U41" s="448" t="s">
        <v>2191</v>
      </c>
      <c r="V41" s="443" t="s">
        <v>2191</v>
      </c>
      <c r="W41" s="443"/>
      <c r="X41" s="448"/>
      <c r="Y41" t="s">
        <v>96</v>
      </c>
      <c r="AF41" s="467"/>
      <c r="AG41" s="467"/>
      <c r="AH41" s="467"/>
    </row>
    <row r="42" spans="1:48">
      <c r="A42" s="543"/>
      <c r="B42" s="562"/>
      <c r="C42" s="457" t="s">
        <v>92</v>
      </c>
      <c r="D42" s="167"/>
      <c r="E42" s="444">
        <v>1</v>
      </c>
      <c r="F42" s="459">
        <v>1</v>
      </c>
      <c r="G42" s="460">
        <v>1</v>
      </c>
      <c r="H42" s="460">
        <v>1</v>
      </c>
      <c r="I42" s="460">
        <v>1</v>
      </c>
      <c r="J42" s="460">
        <v>1</v>
      </c>
      <c r="K42" s="460">
        <v>1</v>
      </c>
      <c r="L42" s="460">
        <v>1</v>
      </c>
      <c r="M42" s="460">
        <v>1</v>
      </c>
      <c r="N42" s="461">
        <v>1</v>
      </c>
      <c r="O42" s="459">
        <v>1</v>
      </c>
      <c r="P42" s="460">
        <v>1</v>
      </c>
      <c r="Q42" s="460">
        <v>1</v>
      </c>
      <c r="R42" s="460">
        <v>1</v>
      </c>
      <c r="S42" s="460">
        <v>1</v>
      </c>
      <c r="T42" s="460">
        <v>1</v>
      </c>
      <c r="U42" s="461">
        <v>1</v>
      </c>
      <c r="V42" s="460">
        <v>1</v>
      </c>
      <c r="W42" s="460">
        <v>1</v>
      </c>
      <c r="X42" s="461">
        <v>1</v>
      </c>
      <c r="Y42" s="439" t="s">
        <v>92</v>
      </c>
      <c r="Z42" s="439"/>
      <c r="AA42" s="439"/>
      <c r="AH42" s="467"/>
    </row>
    <row r="43" spans="1:48">
      <c r="A43" s="543"/>
      <c r="B43" s="379"/>
      <c r="C43" s="380"/>
      <c r="D43" s="443"/>
      <c r="E43" s="444"/>
      <c r="F43" s="447"/>
      <c r="G43" s="443"/>
      <c r="H43" s="443"/>
      <c r="I43" s="443"/>
      <c r="J43" s="443"/>
      <c r="K43" s="443"/>
      <c r="L43" s="443"/>
      <c r="M43" s="443"/>
      <c r="N43" s="448"/>
      <c r="O43" s="447"/>
      <c r="P43" s="443"/>
      <c r="Q43" s="443"/>
      <c r="R43" s="443"/>
      <c r="S43" s="443"/>
      <c r="T43" s="443"/>
      <c r="U43" s="448"/>
      <c r="V43" s="443"/>
      <c r="W43" s="443"/>
      <c r="X43" s="443"/>
      <c r="AH43" s="467"/>
    </row>
    <row r="44" spans="1:48" ht="15" customHeight="1">
      <c r="A44" s="543"/>
      <c r="B44" s="561" t="s">
        <v>2197</v>
      </c>
      <c r="C44" s="155" t="s">
        <v>120</v>
      </c>
      <c r="D44" s="168"/>
      <c r="E44" s="451" t="s">
        <v>2191</v>
      </c>
      <c r="F44" s="452"/>
      <c r="G44" s="453">
        <v>1</v>
      </c>
      <c r="H44" s="453"/>
      <c r="I44" s="453"/>
      <c r="J44" s="453"/>
      <c r="K44" s="453"/>
      <c r="L44" s="453" t="s">
        <v>2191</v>
      </c>
      <c r="M44" s="453" t="s">
        <v>2191</v>
      </c>
      <c r="N44" s="454" t="s">
        <v>2191</v>
      </c>
      <c r="O44" s="452">
        <v>1</v>
      </c>
      <c r="P44" s="453"/>
      <c r="Q44" s="453"/>
      <c r="R44" s="453"/>
      <c r="S44" s="453"/>
      <c r="T44" s="453"/>
      <c r="U44" s="454"/>
      <c r="V44" s="453">
        <v>1</v>
      </c>
      <c r="W44" s="453"/>
      <c r="X44" s="454"/>
      <c r="Y44" t="s">
        <v>120</v>
      </c>
      <c r="AH44" s="467"/>
    </row>
    <row r="45" spans="1:48" s="499" customFormat="1">
      <c r="A45" s="543"/>
      <c r="B45" s="551"/>
      <c r="C45" s="449" t="s">
        <v>122</v>
      </c>
      <c r="D45" s="455"/>
      <c r="E45" s="444">
        <v>1</v>
      </c>
      <c r="F45" s="447">
        <v>1</v>
      </c>
      <c r="G45" s="443">
        <v>1</v>
      </c>
      <c r="H45" s="443">
        <v>1</v>
      </c>
      <c r="I45" s="443">
        <v>1</v>
      </c>
      <c r="J45" s="443">
        <v>1</v>
      </c>
      <c r="K45" s="443">
        <v>1</v>
      </c>
      <c r="L45" s="443">
        <v>1</v>
      </c>
      <c r="M45" s="443">
        <v>1</v>
      </c>
      <c r="N45" s="448">
        <v>1</v>
      </c>
      <c r="O45" s="447">
        <v>1</v>
      </c>
      <c r="P45" s="443">
        <v>1</v>
      </c>
      <c r="Q45" s="443">
        <v>1</v>
      </c>
      <c r="R45" s="443">
        <v>1</v>
      </c>
      <c r="S45" s="443">
        <v>1</v>
      </c>
      <c r="T45" s="443">
        <v>1</v>
      </c>
      <c r="U45" s="448">
        <v>1</v>
      </c>
      <c r="V45" s="443">
        <v>1</v>
      </c>
      <c r="W45" s="443">
        <v>1</v>
      </c>
      <c r="X45" s="448">
        <v>1</v>
      </c>
      <c r="Y45" s="463" t="s">
        <v>122</v>
      </c>
      <c r="Z45" s="463"/>
      <c r="AA45" s="463"/>
      <c r="AD45"/>
      <c r="AE45"/>
      <c r="AF45"/>
      <c r="AG45"/>
      <c r="AH45" s="467"/>
      <c r="AI45" s="467"/>
      <c r="AJ45"/>
      <c r="AK45"/>
      <c r="AL45"/>
      <c r="AM45" s="467"/>
      <c r="AN45"/>
      <c r="AO45"/>
      <c r="AP45"/>
      <c r="AQ45"/>
      <c r="AR45"/>
      <c r="AS45"/>
      <c r="AT45"/>
      <c r="AU45"/>
      <c r="AV45"/>
    </row>
    <row r="46" spans="1:48">
      <c r="A46" s="543"/>
      <c r="B46" s="551"/>
      <c r="C46" s="449" t="s">
        <v>124</v>
      </c>
      <c r="D46" s="455"/>
      <c r="E46" s="444">
        <v>1</v>
      </c>
      <c r="F46" s="447">
        <v>1</v>
      </c>
      <c r="G46" s="443">
        <v>1</v>
      </c>
      <c r="H46" s="443">
        <v>1</v>
      </c>
      <c r="I46" s="443">
        <v>1</v>
      </c>
      <c r="J46" s="443">
        <v>1</v>
      </c>
      <c r="K46" s="443">
        <v>1</v>
      </c>
      <c r="L46" s="443">
        <v>1</v>
      </c>
      <c r="M46" s="443">
        <v>1</v>
      </c>
      <c r="N46" s="448">
        <v>1</v>
      </c>
      <c r="O46" s="447">
        <v>1</v>
      </c>
      <c r="P46" s="443">
        <v>1</v>
      </c>
      <c r="Q46" s="443">
        <v>1</v>
      </c>
      <c r="R46" s="443">
        <v>1</v>
      </c>
      <c r="S46" s="443">
        <v>1</v>
      </c>
      <c r="T46" s="443">
        <v>1</v>
      </c>
      <c r="U46" s="448">
        <v>1</v>
      </c>
      <c r="V46" s="443">
        <v>1</v>
      </c>
      <c r="W46" s="443">
        <v>1</v>
      </c>
      <c r="X46" s="448">
        <v>1</v>
      </c>
      <c r="Y46" s="439" t="s">
        <v>124</v>
      </c>
      <c r="Z46" s="439"/>
      <c r="AA46" s="439"/>
      <c r="AC46" s="467"/>
      <c r="AH46" s="467"/>
    </row>
    <row r="47" spans="1:48">
      <c r="A47" s="543"/>
      <c r="B47" s="551"/>
      <c r="C47" s="156" t="s">
        <v>126</v>
      </c>
      <c r="D47" s="455"/>
      <c r="E47" s="444" t="s">
        <v>2191</v>
      </c>
      <c r="F47" s="447"/>
      <c r="G47" s="443">
        <v>1</v>
      </c>
      <c r="H47" s="443"/>
      <c r="I47" s="443"/>
      <c r="J47" s="443"/>
      <c r="K47" s="443"/>
      <c r="L47" s="443" t="s">
        <v>2191</v>
      </c>
      <c r="M47" s="443" t="s">
        <v>2191</v>
      </c>
      <c r="N47" s="448" t="s">
        <v>2191</v>
      </c>
      <c r="O47" s="447">
        <v>1</v>
      </c>
      <c r="P47" s="443"/>
      <c r="Q47" s="443"/>
      <c r="R47" s="443"/>
      <c r="S47" s="443"/>
      <c r="T47" s="443"/>
      <c r="U47" s="448"/>
      <c r="V47" s="443">
        <v>1</v>
      </c>
      <c r="W47" s="443"/>
      <c r="X47" s="448"/>
      <c r="Y47" t="s">
        <v>126</v>
      </c>
      <c r="AC47" s="467" t="str">
        <f>IF(F47=1,$C47,"")</f>
        <v/>
      </c>
      <c r="AH47" s="467"/>
    </row>
    <row r="48" spans="1:48">
      <c r="A48" s="543"/>
      <c r="B48" s="551"/>
      <c r="C48" s="464" t="s">
        <v>128</v>
      </c>
      <c r="D48" s="455"/>
      <c r="E48" s="444">
        <v>1</v>
      </c>
      <c r="F48" s="447">
        <v>1</v>
      </c>
      <c r="G48" s="443">
        <v>1</v>
      </c>
      <c r="H48" s="443">
        <v>1</v>
      </c>
      <c r="I48" s="443">
        <v>1</v>
      </c>
      <c r="J48" s="443">
        <v>1</v>
      </c>
      <c r="K48" s="443">
        <v>1</v>
      </c>
      <c r="L48" s="443">
        <v>1</v>
      </c>
      <c r="M48" s="443">
        <v>1</v>
      </c>
      <c r="N48" s="448">
        <v>1</v>
      </c>
      <c r="O48" s="447">
        <v>1</v>
      </c>
      <c r="P48" s="443">
        <v>1</v>
      </c>
      <c r="Q48" s="443">
        <v>1</v>
      </c>
      <c r="R48" s="443">
        <v>1</v>
      </c>
      <c r="S48" s="443">
        <v>1</v>
      </c>
      <c r="T48" s="443">
        <v>1</v>
      </c>
      <c r="U48" s="448">
        <v>1</v>
      </c>
      <c r="V48" s="443">
        <v>1</v>
      </c>
      <c r="W48" s="443">
        <v>1</v>
      </c>
      <c r="X48" s="448">
        <v>1</v>
      </c>
      <c r="Y48" t="s">
        <v>128</v>
      </c>
      <c r="AC48" s="467"/>
      <c r="AH48" s="467"/>
    </row>
    <row r="49" spans="1:34">
      <c r="A49" s="543"/>
      <c r="B49" s="551"/>
      <c r="C49" s="156" t="s">
        <v>130</v>
      </c>
      <c r="D49" s="455"/>
      <c r="E49" s="444" t="s">
        <v>2191</v>
      </c>
      <c r="F49" s="447"/>
      <c r="G49" s="443">
        <v>1</v>
      </c>
      <c r="H49" s="443"/>
      <c r="I49" s="443"/>
      <c r="J49" s="443"/>
      <c r="K49" s="443"/>
      <c r="L49" s="443" t="s">
        <v>2191</v>
      </c>
      <c r="M49" s="443" t="s">
        <v>2191</v>
      </c>
      <c r="N49" s="448" t="s">
        <v>2191</v>
      </c>
      <c r="O49" s="447">
        <v>1</v>
      </c>
      <c r="P49" s="443"/>
      <c r="Q49" s="443"/>
      <c r="R49" s="443"/>
      <c r="S49" s="443"/>
      <c r="T49" s="443"/>
      <c r="U49" s="448"/>
      <c r="V49" s="443">
        <v>1</v>
      </c>
      <c r="W49" s="443"/>
      <c r="X49" s="448"/>
      <c r="Y49" t="s">
        <v>130</v>
      </c>
      <c r="AC49" s="467" t="str">
        <f>IF(F49=1,$C49,"")</f>
        <v/>
      </c>
      <c r="AH49" s="467"/>
    </row>
    <row r="50" spans="1:34">
      <c r="A50" s="543"/>
      <c r="B50" s="551"/>
      <c r="C50" s="449" t="s">
        <v>132</v>
      </c>
      <c r="D50" s="455"/>
      <c r="E50" s="444">
        <v>1</v>
      </c>
      <c r="F50" s="447">
        <v>1</v>
      </c>
      <c r="G50" s="443">
        <v>1</v>
      </c>
      <c r="H50" s="443">
        <v>1</v>
      </c>
      <c r="I50" s="443">
        <v>1</v>
      </c>
      <c r="J50" s="443">
        <v>1</v>
      </c>
      <c r="K50" s="443">
        <v>1</v>
      </c>
      <c r="L50" s="443">
        <v>1</v>
      </c>
      <c r="M50" s="443">
        <v>1</v>
      </c>
      <c r="N50" s="448">
        <v>1</v>
      </c>
      <c r="O50" s="447">
        <v>1</v>
      </c>
      <c r="P50" s="443">
        <v>1</v>
      </c>
      <c r="Q50" s="443">
        <v>1</v>
      </c>
      <c r="R50" s="443">
        <v>1</v>
      </c>
      <c r="S50" s="443">
        <v>1</v>
      </c>
      <c r="T50" s="443">
        <v>1</v>
      </c>
      <c r="U50" s="448">
        <v>1</v>
      </c>
      <c r="V50" s="443">
        <v>1</v>
      </c>
      <c r="W50" s="443">
        <v>1</v>
      </c>
      <c r="X50" s="448">
        <v>1</v>
      </c>
      <c r="Y50" s="439" t="s">
        <v>132</v>
      </c>
      <c r="Z50" s="439"/>
      <c r="AA50" s="439"/>
      <c r="AC50" s="467"/>
      <c r="AH50" s="467"/>
    </row>
    <row r="51" spans="1:34">
      <c r="A51" s="543"/>
      <c r="B51" s="551"/>
      <c r="C51" s="156" t="s">
        <v>134</v>
      </c>
      <c r="D51" s="455"/>
      <c r="E51" s="444" t="s">
        <v>2191</v>
      </c>
      <c r="F51" s="447"/>
      <c r="G51" s="443">
        <v>1</v>
      </c>
      <c r="H51" s="443"/>
      <c r="I51" s="443"/>
      <c r="J51" s="443"/>
      <c r="K51" s="443"/>
      <c r="L51" s="443" t="s">
        <v>2191</v>
      </c>
      <c r="M51" s="443" t="s">
        <v>2191</v>
      </c>
      <c r="N51" s="448" t="s">
        <v>2191</v>
      </c>
      <c r="O51" s="447">
        <v>1</v>
      </c>
      <c r="P51" s="443"/>
      <c r="Q51" s="443"/>
      <c r="R51" s="443"/>
      <c r="S51" s="443"/>
      <c r="T51" s="443"/>
      <c r="U51" s="448"/>
      <c r="V51" s="443">
        <v>1</v>
      </c>
      <c r="W51" s="443"/>
      <c r="X51" s="448"/>
      <c r="Y51" t="s">
        <v>134</v>
      </c>
      <c r="AC51" s="467" t="str">
        <f>IF(F51=1,$C51,"")</f>
        <v/>
      </c>
      <c r="AH51" s="467"/>
    </row>
    <row r="52" spans="1:34">
      <c r="A52" s="543"/>
      <c r="B52" s="551"/>
      <c r="C52" s="449" t="s">
        <v>136</v>
      </c>
      <c r="D52" s="455"/>
      <c r="E52" s="444">
        <v>1</v>
      </c>
      <c r="F52" s="447">
        <v>1</v>
      </c>
      <c r="G52" s="443">
        <v>1</v>
      </c>
      <c r="H52" s="443">
        <v>1</v>
      </c>
      <c r="I52" s="443">
        <v>1</v>
      </c>
      <c r="J52" s="443">
        <v>1</v>
      </c>
      <c r="K52" s="443">
        <v>1</v>
      </c>
      <c r="L52" s="443">
        <v>1</v>
      </c>
      <c r="M52" s="443">
        <v>1</v>
      </c>
      <c r="N52" s="448">
        <v>1</v>
      </c>
      <c r="O52" s="447">
        <v>1</v>
      </c>
      <c r="P52" s="443">
        <v>1</v>
      </c>
      <c r="Q52" s="443">
        <v>1</v>
      </c>
      <c r="R52" s="443">
        <v>1</v>
      </c>
      <c r="S52" s="443">
        <v>1</v>
      </c>
      <c r="T52" s="443">
        <v>1</v>
      </c>
      <c r="U52" s="448">
        <v>1</v>
      </c>
      <c r="V52" s="443">
        <v>1</v>
      </c>
      <c r="W52" s="443">
        <v>1</v>
      </c>
      <c r="X52" s="448">
        <v>1</v>
      </c>
      <c r="Y52" s="439" t="s">
        <v>136</v>
      </c>
      <c r="Z52" s="439"/>
      <c r="AA52" s="439"/>
      <c r="AC52" s="467"/>
      <c r="AH52" s="467"/>
    </row>
    <row r="53" spans="1:34">
      <c r="A53" s="543"/>
      <c r="B53" s="551"/>
      <c r="C53" s="449" t="s">
        <v>138</v>
      </c>
      <c r="D53" s="455"/>
      <c r="E53" s="444">
        <v>1</v>
      </c>
      <c r="F53" s="447">
        <v>1</v>
      </c>
      <c r="G53" s="443">
        <v>1</v>
      </c>
      <c r="H53" s="443">
        <v>1</v>
      </c>
      <c r="I53" s="443">
        <v>1</v>
      </c>
      <c r="J53" s="443">
        <v>1</v>
      </c>
      <c r="K53" s="443">
        <v>1</v>
      </c>
      <c r="L53" s="443">
        <v>1</v>
      </c>
      <c r="M53" s="443">
        <v>1</v>
      </c>
      <c r="N53" s="448">
        <v>1</v>
      </c>
      <c r="O53" s="447">
        <v>1</v>
      </c>
      <c r="P53" s="443">
        <v>1</v>
      </c>
      <c r="Q53" s="443">
        <v>1</v>
      </c>
      <c r="R53" s="443">
        <v>1</v>
      </c>
      <c r="S53" s="443">
        <v>1</v>
      </c>
      <c r="T53" s="443">
        <v>1</v>
      </c>
      <c r="U53" s="448">
        <v>1</v>
      </c>
      <c r="V53" s="443">
        <v>1</v>
      </c>
      <c r="W53" s="443">
        <v>1</v>
      </c>
      <c r="X53" s="448">
        <v>1</v>
      </c>
      <c r="Y53" s="439" t="s">
        <v>138</v>
      </c>
      <c r="Z53" s="439"/>
      <c r="AA53" s="439"/>
      <c r="AC53" s="467"/>
      <c r="AH53" s="467"/>
    </row>
    <row r="54" spans="1:34">
      <c r="A54" s="543"/>
      <c r="B54" s="551"/>
      <c r="C54" s="156" t="s">
        <v>144</v>
      </c>
      <c r="D54" s="455"/>
      <c r="E54" s="444" t="s">
        <v>2191</v>
      </c>
      <c r="F54" s="447"/>
      <c r="G54" s="443">
        <v>1</v>
      </c>
      <c r="H54" s="443"/>
      <c r="I54" s="443"/>
      <c r="J54" s="443"/>
      <c r="K54" s="443"/>
      <c r="L54" s="443" t="s">
        <v>2191</v>
      </c>
      <c r="M54" s="443" t="s">
        <v>2191</v>
      </c>
      <c r="N54" s="448" t="s">
        <v>2191</v>
      </c>
      <c r="O54" s="447">
        <v>1</v>
      </c>
      <c r="P54" s="443"/>
      <c r="Q54" s="443"/>
      <c r="R54" s="443"/>
      <c r="S54" s="443"/>
      <c r="T54" s="443"/>
      <c r="U54" s="448"/>
      <c r="V54" s="443">
        <v>1</v>
      </c>
      <c r="W54" s="443"/>
      <c r="X54" s="448"/>
      <c r="Y54" t="s">
        <v>144</v>
      </c>
      <c r="AC54" s="467" t="str">
        <f>IF(F54=1,$C54,"")</f>
        <v/>
      </c>
      <c r="AH54" s="467"/>
    </row>
    <row r="55" spans="1:34">
      <c r="A55" s="543"/>
      <c r="B55" s="551"/>
      <c r="C55" s="449" t="s">
        <v>146</v>
      </c>
      <c r="D55" s="455"/>
      <c r="E55" s="444">
        <v>1</v>
      </c>
      <c r="F55" s="447">
        <v>1</v>
      </c>
      <c r="G55" s="443">
        <v>1</v>
      </c>
      <c r="H55" s="443">
        <v>1</v>
      </c>
      <c r="I55" s="443">
        <v>1</v>
      </c>
      <c r="J55" s="443">
        <v>1</v>
      </c>
      <c r="K55" s="443">
        <v>1</v>
      </c>
      <c r="L55" s="443">
        <v>1</v>
      </c>
      <c r="M55" s="443">
        <v>1</v>
      </c>
      <c r="N55" s="448">
        <v>1</v>
      </c>
      <c r="O55" s="447">
        <v>1</v>
      </c>
      <c r="P55" s="443">
        <v>1</v>
      </c>
      <c r="Q55" s="443">
        <v>1</v>
      </c>
      <c r="R55" s="443">
        <v>1</v>
      </c>
      <c r="S55" s="443">
        <v>1</v>
      </c>
      <c r="T55" s="443">
        <v>1</v>
      </c>
      <c r="U55" s="448">
        <v>1</v>
      </c>
      <c r="V55" s="443">
        <v>1</v>
      </c>
      <c r="W55" s="443">
        <v>1</v>
      </c>
      <c r="X55" s="448">
        <v>1</v>
      </c>
      <c r="Y55" s="439" t="s">
        <v>146</v>
      </c>
      <c r="Z55" s="439"/>
      <c r="AA55" s="439"/>
      <c r="AC55" s="467"/>
      <c r="AH55" s="467"/>
    </row>
    <row r="56" spans="1:34">
      <c r="A56" s="543"/>
      <c r="B56" s="551"/>
      <c r="C56" s="449" t="s">
        <v>148</v>
      </c>
      <c r="D56" s="455"/>
      <c r="E56" s="444">
        <v>1</v>
      </c>
      <c r="F56" s="447">
        <v>1</v>
      </c>
      <c r="G56" s="443">
        <v>1</v>
      </c>
      <c r="H56" s="443">
        <v>1</v>
      </c>
      <c r="I56" s="443">
        <v>1</v>
      </c>
      <c r="J56" s="443">
        <v>1</v>
      </c>
      <c r="K56" s="443">
        <v>1</v>
      </c>
      <c r="L56" s="443">
        <v>1</v>
      </c>
      <c r="M56" s="443">
        <v>1</v>
      </c>
      <c r="N56" s="448">
        <v>1</v>
      </c>
      <c r="O56" s="447">
        <v>1</v>
      </c>
      <c r="P56" s="443">
        <v>1</v>
      </c>
      <c r="Q56" s="443">
        <v>1</v>
      </c>
      <c r="R56" s="443">
        <v>1</v>
      </c>
      <c r="S56" s="443">
        <v>1</v>
      </c>
      <c r="T56" s="443">
        <v>1</v>
      </c>
      <c r="U56" s="448">
        <v>1</v>
      </c>
      <c r="V56" s="443">
        <v>1</v>
      </c>
      <c r="W56" s="443">
        <v>1</v>
      </c>
      <c r="X56" s="448">
        <v>1</v>
      </c>
      <c r="Y56" s="439" t="s">
        <v>148</v>
      </c>
      <c r="Z56" s="439"/>
      <c r="AA56" s="439"/>
      <c r="AC56" s="467"/>
      <c r="AH56" s="467"/>
    </row>
    <row r="57" spans="1:34">
      <c r="A57" s="543"/>
      <c r="B57" s="551"/>
      <c r="C57" s="156" t="s">
        <v>150</v>
      </c>
      <c r="D57" s="455"/>
      <c r="E57" s="444" t="s">
        <v>2191</v>
      </c>
      <c r="F57" s="447"/>
      <c r="G57" s="443">
        <v>1</v>
      </c>
      <c r="H57" s="443"/>
      <c r="I57" s="443"/>
      <c r="J57" s="443"/>
      <c r="K57" s="443"/>
      <c r="L57" s="443" t="s">
        <v>2191</v>
      </c>
      <c r="M57" s="443" t="s">
        <v>2191</v>
      </c>
      <c r="N57" s="448" t="s">
        <v>2191</v>
      </c>
      <c r="O57" s="447">
        <v>1</v>
      </c>
      <c r="P57" s="443"/>
      <c r="Q57" s="443"/>
      <c r="R57" s="443"/>
      <c r="S57" s="443"/>
      <c r="T57" s="443"/>
      <c r="U57" s="448"/>
      <c r="V57" s="443">
        <v>1</v>
      </c>
      <c r="W57" s="443"/>
      <c r="X57" s="448"/>
      <c r="Y57" t="s">
        <v>150</v>
      </c>
      <c r="AC57" s="467" t="str">
        <f>IF(F57=1,$C57,"")</f>
        <v/>
      </c>
      <c r="AH57" s="467"/>
    </row>
    <row r="58" spans="1:34">
      <c r="A58" s="543"/>
      <c r="B58" s="551"/>
      <c r="C58" s="449" t="s">
        <v>152</v>
      </c>
      <c r="D58" s="455"/>
      <c r="E58" s="444">
        <v>0</v>
      </c>
      <c r="F58" s="447">
        <v>1</v>
      </c>
      <c r="G58" s="443">
        <v>1</v>
      </c>
      <c r="H58" s="443">
        <v>1</v>
      </c>
      <c r="I58" s="443">
        <v>1</v>
      </c>
      <c r="J58" s="443">
        <v>1</v>
      </c>
      <c r="K58" s="443">
        <v>1</v>
      </c>
      <c r="L58" s="443">
        <v>1</v>
      </c>
      <c r="M58" s="443">
        <v>1</v>
      </c>
      <c r="N58" s="448">
        <v>1</v>
      </c>
      <c r="O58" s="447">
        <v>1</v>
      </c>
      <c r="P58" s="443">
        <v>1</v>
      </c>
      <c r="Q58" s="443">
        <v>1</v>
      </c>
      <c r="R58" s="443">
        <v>1</v>
      </c>
      <c r="S58" s="443">
        <v>1</v>
      </c>
      <c r="T58" s="443">
        <v>1</v>
      </c>
      <c r="U58" s="448">
        <v>1</v>
      </c>
      <c r="V58" s="443">
        <v>1</v>
      </c>
      <c r="W58" s="443">
        <v>1</v>
      </c>
      <c r="X58" s="448">
        <v>1</v>
      </c>
      <c r="Y58" s="439" t="s">
        <v>152</v>
      </c>
      <c r="Z58" s="439"/>
      <c r="AA58" s="439"/>
      <c r="AC58" s="467"/>
      <c r="AH58" s="467"/>
    </row>
    <row r="59" spans="1:34">
      <c r="A59" s="543"/>
      <c r="B59" s="551"/>
      <c r="C59" s="449" t="s">
        <v>140</v>
      </c>
      <c r="D59" s="455"/>
      <c r="E59" s="444">
        <v>0</v>
      </c>
      <c r="F59" s="447">
        <v>1</v>
      </c>
      <c r="G59" s="443">
        <v>1</v>
      </c>
      <c r="H59" s="443">
        <v>1</v>
      </c>
      <c r="I59" s="443">
        <v>1</v>
      </c>
      <c r="J59" s="443">
        <v>1</v>
      </c>
      <c r="K59" s="443">
        <v>1</v>
      </c>
      <c r="L59" s="443">
        <v>1</v>
      </c>
      <c r="M59" s="443">
        <v>1</v>
      </c>
      <c r="N59" s="448">
        <v>1</v>
      </c>
      <c r="O59" s="447">
        <v>1</v>
      </c>
      <c r="P59" s="443">
        <v>1</v>
      </c>
      <c r="Q59" s="443">
        <v>1</v>
      </c>
      <c r="R59" s="443">
        <v>1</v>
      </c>
      <c r="S59" s="443">
        <v>1</v>
      </c>
      <c r="T59" s="443">
        <v>1</v>
      </c>
      <c r="U59" s="448">
        <v>1</v>
      </c>
      <c r="V59" s="443">
        <v>1</v>
      </c>
      <c r="W59" s="443">
        <v>1</v>
      </c>
      <c r="X59" s="448">
        <v>1</v>
      </c>
      <c r="Y59" s="439" t="s">
        <v>140</v>
      </c>
      <c r="Z59" s="439"/>
      <c r="AA59" s="439"/>
      <c r="AC59" s="467"/>
      <c r="AH59" s="467"/>
    </row>
    <row r="60" spans="1:34">
      <c r="A60" s="543"/>
      <c r="B60" s="551"/>
      <c r="C60" s="449" t="s">
        <v>142</v>
      </c>
      <c r="D60" s="455"/>
      <c r="E60" s="444">
        <v>0</v>
      </c>
      <c r="F60" s="447">
        <v>1</v>
      </c>
      <c r="G60" s="443">
        <v>1</v>
      </c>
      <c r="H60" s="443">
        <v>1</v>
      </c>
      <c r="I60" s="443">
        <v>1</v>
      </c>
      <c r="J60" s="443">
        <v>1</v>
      </c>
      <c r="K60" s="443">
        <v>1</v>
      </c>
      <c r="L60" s="443">
        <v>1</v>
      </c>
      <c r="M60" s="443">
        <v>1</v>
      </c>
      <c r="N60" s="448">
        <v>1</v>
      </c>
      <c r="O60" s="447">
        <v>1</v>
      </c>
      <c r="P60" s="443">
        <v>1</v>
      </c>
      <c r="Q60" s="443">
        <v>1</v>
      </c>
      <c r="R60" s="443">
        <v>1</v>
      </c>
      <c r="S60" s="443">
        <v>1</v>
      </c>
      <c r="T60" s="443">
        <v>1</v>
      </c>
      <c r="U60" s="448">
        <v>1</v>
      </c>
      <c r="V60" s="443">
        <v>1</v>
      </c>
      <c r="W60" s="443">
        <v>1</v>
      </c>
      <c r="X60" s="448">
        <v>1</v>
      </c>
      <c r="Y60" s="439" t="s">
        <v>142</v>
      </c>
      <c r="Z60" s="439"/>
      <c r="AA60" s="439"/>
      <c r="AC60" s="467"/>
      <c r="AH60" s="467"/>
    </row>
    <row r="61" spans="1:34">
      <c r="A61" s="543"/>
      <c r="B61" s="551"/>
      <c r="C61" s="156" t="s">
        <v>154</v>
      </c>
      <c r="D61" s="455"/>
      <c r="E61" s="444" t="s">
        <v>2191</v>
      </c>
      <c r="F61" s="447"/>
      <c r="G61" s="443">
        <v>1</v>
      </c>
      <c r="H61" s="443"/>
      <c r="I61" s="443"/>
      <c r="J61" s="443"/>
      <c r="K61" s="443"/>
      <c r="L61" s="443" t="s">
        <v>2191</v>
      </c>
      <c r="M61" s="443" t="s">
        <v>2191</v>
      </c>
      <c r="N61" s="448" t="s">
        <v>2191</v>
      </c>
      <c r="O61" s="447">
        <v>1</v>
      </c>
      <c r="P61" s="443"/>
      <c r="Q61" s="443"/>
      <c r="R61" s="443"/>
      <c r="S61" s="443"/>
      <c r="T61" s="443"/>
      <c r="U61" s="448"/>
      <c r="V61" s="443">
        <v>1</v>
      </c>
      <c r="W61" s="443"/>
      <c r="X61" s="448"/>
      <c r="Y61" t="s">
        <v>154</v>
      </c>
      <c r="AC61" s="467" t="str">
        <f>IF(F61=1,$C61,"")</f>
        <v/>
      </c>
      <c r="AH61" s="467"/>
    </row>
    <row r="62" spans="1:34">
      <c r="A62" s="543"/>
      <c r="B62" s="551"/>
      <c r="C62" s="449" t="s">
        <v>156</v>
      </c>
      <c r="D62" s="455"/>
      <c r="E62" s="444">
        <v>0</v>
      </c>
      <c r="F62" s="447">
        <v>1</v>
      </c>
      <c r="G62" s="443">
        <v>1</v>
      </c>
      <c r="H62" s="443">
        <v>1</v>
      </c>
      <c r="I62" s="443">
        <v>1</v>
      </c>
      <c r="J62" s="443">
        <v>1</v>
      </c>
      <c r="K62" s="443">
        <v>1</v>
      </c>
      <c r="L62" s="443">
        <v>1</v>
      </c>
      <c r="M62" s="443">
        <v>1</v>
      </c>
      <c r="N62" s="448">
        <v>1</v>
      </c>
      <c r="O62" s="447">
        <v>1</v>
      </c>
      <c r="P62" s="443">
        <v>1</v>
      </c>
      <c r="Q62" s="443">
        <v>1</v>
      </c>
      <c r="R62" s="443">
        <v>1</v>
      </c>
      <c r="S62" s="443">
        <v>1</v>
      </c>
      <c r="T62" s="443">
        <v>1</v>
      </c>
      <c r="U62" s="448">
        <v>1</v>
      </c>
      <c r="V62" s="443">
        <v>1</v>
      </c>
      <c r="W62" s="443">
        <v>1</v>
      </c>
      <c r="X62" s="448">
        <v>1</v>
      </c>
      <c r="Y62" s="439" t="s">
        <v>156</v>
      </c>
      <c r="Z62" s="439"/>
      <c r="AA62" s="439"/>
      <c r="AC62" s="467"/>
      <c r="AH62" s="467"/>
    </row>
    <row r="63" spans="1:34">
      <c r="A63" s="543"/>
      <c r="B63" s="551"/>
      <c r="C63" s="449" t="s">
        <v>158</v>
      </c>
      <c r="D63" s="455"/>
      <c r="E63" s="444">
        <v>0</v>
      </c>
      <c r="F63" s="447">
        <v>1</v>
      </c>
      <c r="G63" s="443">
        <v>1</v>
      </c>
      <c r="H63" s="443">
        <v>1</v>
      </c>
      <c r="I63" s="443">
        <v>1</v>
      </c>
      <c r="J63" s="443">
        <v>1</v>
      </c>
      <c r="K63" s="443">
        <v>1</v>
      </c>
      <c r="L63" s="443">
        <v>1</v>
      </c>
      <c r="M63" s="443">
        <v>1</v>
      </c>
      <c r="N63" s="448">
        <v>1</v>
      </c>
      <c r="O63" s="447">
        <v>1</v>
      </c>
      <c r="P63" s="443">
        <v>1</v>
      </c>
      <c r="Q63" s="443">
        <v>1</v>
      </c>
      <c r="R63" s="443">
        <v>1</v>
      </c>
      <c r="S63" s="443">
        <v>1</v>
      </c>
      <c r="T63" s="443">
        <v>1</v>
      </c>
      <c r="U63" s="448">
        <v>1</v>
      </c>
      <c r="V63" s="443">
        <v>1</v>
      </c>
      <c r="W63" s="443">
        <v>1</v>
      </c>
      <c r="X63" s="448">
        <v>1</v>
      </c>
      <c r="Y63" s="439" t="s">
        <v>158</v>
      </c>
      <c r="Z63" s="439"/>
      <c r="AA63" s="439"/>
      <c r="AC63" s="467"/>
      <c r="AH63" s="467"/>
    </row>
    <row r="64" spans="1:34">
      <c r="A64" s="543"/>
      <c r="B64" s="551"/>
      <c r="C64" s="156" t="s">
        <v>160</v>
      </c>
      <c r="D64" s="455"/>
      <c r="E64" s="444" t="s">
        <v>2191</v>
      </c>
      <c r="F64" s="447"/>
      <c r="G64" s="443">
        <v>1</v>
      </c>
      <c r="H64" s="443"/>
      <c r="I64" s="443"/>
      <c r="J64" s="443"/>
      <c r="K64" s="443"/>
      <c r="L64" s="443" t="s">
        <v>2191</v>
      </c>
      <c r="M64" s="443" t="s">
        <v>2191</v>
      </c>
      <c r="N64" s="448" t="s">
        <v>2191</v>
      </c>
      <c r="O64" s="447">
        <v>1</v>
      </c>
      <c r="P64" s="443"/>
      <c r="Q64" s="443"/>
      <c r="R64" s="443"/>
      <c r="S64" s="443"/>
      <c r="T64" s="443"/>
      <c r="U64" s="448"/>
      <c r="V64" s="443">
        <v>1</v>
      </c>
      <c r="W64" s="443"/>
      <c r="X64" s="448"/>
      <c r="Y64" t="s">
        <v>160</v>
      </c>
      <c r="AC64" s="467" t="str">
        <f>IF(F64=1,$C64,"")</f>
        <v/>
      </c>
      <c r="AH64" s="467"/>
    </row>
    <row r="65" spans="1:48">
      <c r="A65" s="543"/>
      <c r="B65" s="551"/>
      <c r="C65" s="449" t="s">
        <v>162</v>
      </c>
      <c r="D65" s="455"/>
      <c r="E65" s="444">
        <v>0</v>
      </c>
      <c r="F65" s="447">
        <v>1</v>
      </c>
      <c r="G65" s="443">
        <v>1</v>
      </c>
      <c r="H65" s="443">
        <v>1</v>
      </c>
      <c r="I65" s="443">
        <v>1</v>
      </c>
      <c r="J65" s="443">
        <v>1</v>
      </c>
      <c r="K65" s="443">
        <v>1</v>
      </c>
      <c r="L65" s="443">
        <v>1</v>
      </c>
      <c r="M65" s="443">
        <v>1</v>
      </c>
      <c r="N65" s="448">
        <v>1</v>
      </c>
      <c r="O65" s="447">
        <v>1</v>
      </c>
      <c r="P65" s="443">
        <v>1</v>
      </c>
      <c r="Q65" s="443">
        <v>1</v>
      </c>
      <c r="R65" s="443">
        <v>1</v>
      </c>
      <c r="S65" s="443">
        <v>1</v>
      </c>
      <c r="T65" s="443">
        <v>1</v>
      </c>
      <c r="U65" s="448">
        <v>1</v>
      </c>
      <c r="V65" s="443">
        <v>1</v>
      </c>
      <c r="W65" s="443">
        <v>1</v>
      </c>
      <c r="X65" s="448">
        <v>1</v>
      </c>
      <c r="Y65" s="439" t="s">
        <v>162</v>
      </c>
      <c r="Z65" s="439"/>
      <c r="AA65" s="439"/>
      <c r="AC65" s="467"/>
      <c r="AH65" s="467"/>
    </row>
    <row r="66" spans="1:48">
      <c r="A66" s="543"/>
      <c r="B66" s="551"/>
      <c r="C66" s="449" t="s">
        <v>164</v>
      </c>
      <c r="D66" s="455"/>
      <c r="E66" s="444">
        <v>0</v>
      </c>
      <c r="F66" s="447">
        <v>1</v>
      </c>
      <c r="G66" s="443">
        <v>1</v>
      </c>
      <c r="H66" s="443">
        <v>1</v>
      </c>
      <c r="I66" s="443">
        <v>1</v>
      </c>
      <c r="J66" s="443">
        <v>1</v>
      </c>
      <c r="K66" s="443">
        <v>1</v>
      </c>
      <c r="L66" s="443">
        <v>1</v>
      </c>
      <c r="M66" s="443">
        <v>1</v>
      </c>
      <c r="N66" s="448">
        <v>1</v>
      </c>
      <c r="O66" s="447">
        <v>1</v>
      </c>
      <c r="P66" s="443">
        <v>1</v>
      </c>
      <c r="Q66" s="443">
        <v>1</v>
      </c>
      <c r="R66" s="443">
        <v>1</v>
      </c>
      <c r="S66" s="443">
        <v>1</v>
      </c>
      <c r="T66" s="443">
        <v>1</v>
      </c>
      <c r="U66" s="448">
        <v>1</v>
      </c>
      <c r="V66" s="443">
        <v>1</v>
      </c>
      <c r="W66" s="443">
        <v>1</v>
      </c>
      <c r="X66" s="448">
        <v>1</v>
      </c>
      <c r="Y66" s="439" t="s">
        <v>164</v>
      </c>
      <c r="Z66" s="439"/>
      <c r="AA66" s="439"/>
      <c r="AC66" s="467"/>
      <c r="AH66" s="467"/>
    </row>
    <row r="67" spans="1:48">
      <c r="A67" s="543"/>
      <c r="B67" s="551"/>
      <c r="C67" s="156" t="s">
        <v>166</v>
      </c>
      <c r="D67" s="455"/>
      <c r="E67" s="444" t="s">
        <v>2191</v>
      </c>
      <c r="F67" s="447"/>
      <c r="G67" s="443">
        <v>1</v>
      </c>
      <c r="H67" s="443"/>
      <c r="I67" s="443"/>
      <c r="J67" s="443"/>
      <c r="K67" s="443"/>
      <c r="L67" s="443" t="s">
        <v>2191</v>
      </c>
      <c r="M67" s="443" t="s">
        <v>2191</v>
      </c>
      <c r="N67" s="448" t="s">
        <v>2191</v>
      </c>
      <c r="O67" s="447">
        <v>1</v>
      </c>
      <c r="P67" s="443"/>
      <c r="Q67" s="443"/>
      <c r="R67" s="443"/>
      <c r="S67" s="443"/>
      <c r="T67" s="443"/>
      <c r="U67" s="448"/>
      <c r="V67" s="443">
        <v>1</v>
      </c>
      <c r="W67" s="443"/>
      <c r="X67" s="448"/>
      <c r="Y67" t="s">
        <v>166</v>
      </c>
      <c r="AC67" s="467" t="str">
        <f>IF(F67=1,$C67,"")</f>
        <v/>
      </c>
      <c r="AH67" s="467"/>
    </row>
    <row r="68" spans="1:48">
      <c r="A68" s="543"/>
      <c r="B68" s="551"/>
      <c r="C68" s="449" t="s">
        <v>168</v>
      </c>
      <c r="D68" s="455"/>
      <c r="E68" s="444">
        <v>0</v>
      </c>
      <c r="F68" s="447">
        <v>1</v>
      </c>
      <c r="G68" s="443">
        <v>1</v>
      </c>
      <c r="H68" s="443">
        <v>1</v>
      </c>
      <c r="I68" s="443">
        <v>1</v>
      </c>
      <c r="J68" s="443">
        <v>1</v>
      </c>
      <c r="K68" s="443">
        <v>1</v>
      </c>
      <c r="L68" s="443">
        <v>1</v>
      </c>
      <c r="M68" s="443">
        <v>1</v>
      </c>
      <c r="N68" s="448">
        <v>1</v>
      </c>
      <c r="O68" s="447">
        <v>1</v>
      </c>
      <c r="P68" s="443">
        <v>1</v>
      </c>
      <c r="Q68" s="443">
        <v>1</v>
      </c>
      <c r="R68" s="443">
        <v>1</v>
      </c>
      <c r="S68" s="443">
        <v>1</v>
      </c>
      <c r="T68" s="443">
        <v>1</v>
      </c>
      <c r="U68" s="448">
        <v>1</v>
      </c>
      <c r="V68" s="443">
        <v>1</v>
      </c>
      <c r="W68" s="443">
        <v>1</v>
      </c>
      <c r="X68" s="448">
        <v>1</v>
      </c>
      <c r="Y68" s="439" t="s">
        <v>168</v>
      </c>
      <c r="Z68" s="439"/>
      <c r="AA68" s="439"/>
      <c r="AC68" s="467"/>
      <c r="AH68" s="467"/>
    </row>
    <row r="69" spans="1:48">
      <c r="A69" s="543"/>
      <c r="B69" s="551"/>
      <c r="C69" s="156" t="s">
        <v>170</v>
      </c>
      <c r="D69" s="455"/>
      <c r="E69" s="444" t="s">
        <v>2191</v>
      </c>
      <c r="F69" s="447"/>
      <c r="G69" s="443">
        <v>1</v>
      </c>
      <c r="H69" s="443"/>
      <c r="I69" s="443"/>
      <c r="J69" s="443"/>
      <c r="K69" s="443"/>
      <c r="L69" s="443" t="s">
        <v>2191</v>
      </c>
      <c r="M69" s="443" t="s">
        <v>2191</v>
      </c>
      <c r="N69" s="448" t="s">
        <v>2191</v>
      </c>
      <c r="O69" s="447">
        <v>1</v>
      </c>
      <c r="P69" s="443"/>
      <c r="Q69" s="443"/>
      <c r="R69" s="443"/>
      <c r="S69" s="443"/>
      <c r="T69" s="443"/>
      <c r="U69" s="448"/>
      <c r="V69" s="443">
        <v>1</v>
      </c>
      <c r="W69" s="443"/>
      <c r="X69" s="448"/>
      <c r="Y69" t="s">
        <v>170</v>
      </c>
      <c r="AC69" s="467" t="str">
        <f>IF(F69=1,$C69,"")</f>
        <v/>
      </c>
      <c r="AH69" s="467"/>
    </row>
    <row r="70" spans="1:48">
      <c r="A70" s="543"/>
      <c r="B70" s="551"/>
      <c r="C70" s="449" t="s">
        <v>172</v>
      </c>
      <c r="D70" s="455"/>
      <c r="E70" s="444">
        <v>0</v>
      </c>
      <c r="F70" s="447">
        <v>1</v>
      </c>
      <c r="G70" s="443">
        <v>1</v>
      </c>
      <c r="H70" s="443">
        <v>1</v>
      </c>
      <c r="I70" s="443">
        <v>1</v>
      </c>
      <c r="J70" s="443">
        <v>1</v>
      </c>
      <c r="K70" s="443">
        <v>1</v>
      </c>
      <c r="L70" s="443">
        <v>1</v>
      </c>
      <c r="M70" s="443">
        <v>1</v>
      </c>
      <c r="N70" s="448">
        <v>1</v>
      </c>
      <c r="O70" s="447">
        <v>1</v>
      </c>
      <c r="P70" s="443">
        <v>1</v>
      </c>
      <c r="Q70" s="443">
        <v>1</v>
      </c>
      <c r="R70" s="443">
        <v>1</v>
      </c>
      <c r="S70" s="443">
        <v>1</v>
      </c>
      <c r="T70" s="443">
        <v>1</v>
      </c>
      <c r="U70" s="448">
        <v>1</v>
      </c>
      <c r="V70" s="443">
        <v>1</v>
      </c>
      <c r="W70" s="443">
        <v>1</v>
      </c>
      <c r="X70" s="448">
        <v>1</v>
      </c>
      <c r="Y70" s="439" t="s">
        <v>172</v>
      </c>
      <c r="Z70" s="439"/>
      <c r="AA70" s="439"/>
      <c r="AC70" s="467"/>
      <c r="AH70" s="467"/>
    </row>
    <row r="71" spans="1:48">
      <c r="A71" s="543"/>
      <c r="B71" s="551"/>
      <c r="C71" s="449" t="s">
        <v>174</v>
      </c>
      <c r="D71" s="455"/>
      <c r="E71" s="444">
        <v>0</v>
      </c>
      <c r="F71" s="447">
        <v>1</v>
      </c>
      <c r="G71" s="443">
        <v>1</v>
      </c>
      <c r="H71" s="443">
        <v>1</v>
      </c>
      <c r="I71" s="443">
        <v>1</v>
      </c>
      <c r="J71" s="443">
        <v>1</v>
      </c>
      <c r="K71" s="443">
        <v>1</v>
      </c>
      <c r="L71" s="443">
        <v>1</v>
      </c>
      <c r="M71" s="443">
        <v>1</v>
      </c>
      <c r="N71" s="448">
        <v>1</v>
      </c>
      <c r="O71" s="447">
        <v>1</v>
      </c>
      <c r="P71" s="443">
        <v>1</v>
      </c>
      <c r="Q71" s="443">
        <v>1</v>
      </c>
      <c r="R71" s="443">
        <v>1</v>
      </c>
      <c r="S71" s="443">
        <v>1</v>
      </c>
      <c r="T71" s="443">
        <v>1</v>
      </c>
      <c r="U71" s="448">
        <v>1</v>
      </c>
      <c r="V71" s="443">
        <v>1</v>
      </c>
      <c r="W71" s="443">
        <v>1</v>
      </c>
      <c r="X71" s="448">
        <v>1</v>
      </c>
      <c r="Y71" s="439" t="s">
        <v>174</v>
      </c>
      <c r="Z71" s="439"/>
      <c r="AA71" s="439"/>
      <c r="AC71" s="467"/>
      <c r="AH71" s="467"/>
      <c r="AR71" t="s">
        <v>2280</v>
      </c>
      <c r="AS71" t="s">
        <v>2280</v>
      </c>
      <c r="AU71" t="s">
        <v>2280</v>
      </c>
      <c r="AV71" t="s">
        <v>2280</v>
      </c>
    </row>
    <row r="72" spans="1:48">
      <c r="A72" s="544"/>
      <c r="B72" s="562"/>
      <c r="C72" s="156" t="s">
        <v>176</v>
      </c>
      <c r="D72" s="465"/>
      <c r="E72" s="458" t="s">
        <v>2191</v>
      </c>
      <c r="F72" s="459"/>
      <c r="G72" s="460">
        <v>1</v>
      </c>
      <c r="H72" s="460"/>
      <c r="I72" s="460"/>
      <c r="J72" s="460"/>
      <c r="K72" s="460"/>
      <c r="L72" s="460" t="s">
        <v>2191</v>
      </c>
      <c r="M72" s="460" t="s">
        <v>2191</v>
      </c>
      <c r="N72" s="461" t="s">
        <v>2191</v>
      </c>
      <c r="O72" s="459">
        <v>1</v>
      </c>
      <c r="P72" s="460"/>
      <c r="Q72" s="460"/>
      <c r="R72" s="460"/>
      <c r="S72" s="460"/>
      <c r="T72" s="460"/>
      <c r="U72" s="461"/>
      <c r="V72" s="460">
        <v>1</v>
      </c>
      <c r="W72" s="460"/>
      <c r="X72" s="461"/>
      <c r="Y72" t="s">
        <v>176</v>
      </c>
      <c r="AC72" t="str">
        <f>IF(F72=1,$C72,"")</f>
        <v/>
      </c>
      <c r="AG72" t="s">
        <v>2280</v>
      </c>
      <c r="AH72" s="467" t="s">
        <v>2280</v>
      </c>
    </row>
    <row r="73" spans="1:48">
      <c r="D73" t="s">
        <v>2368</v>
      </c>
      <c r="E73" s="163"/>
    </row>
    <row r="74" spans="1:48" ht="15" customHeight="1">
      <c r="A74" s="559" t="s">
        <v>2363</v>
      </c>
      <c r="B74" s="561" t="s">
        <v>2364</v>
      </c>
      <c r="C74" s="47" t="s">
        <v>337</v>
      </c>
    </row>
    <row r="75" spans="1:48">
      <c r="A75" s="560"/>
      <c r="B75" s="551"/>
      <c r="C75" s="47" t="s">
        <v>335</v>
      </c>
    </row>
    <row r="76" spans="1:48">
      <c r="A76" s="560"/>
      <c r="B76" s="551"/>
      <c r="C76" s="47" t="s">
        <v>339</v>
      </c>
    </row>
    <row r="77" spans="1:48">
      <c r="A77" s="560"/>
      <c r="B77" s="551"/>
      <c r="C77" s="141" t="s">
        <v>340</v>
      </c>
    </row>
    <row r="78" spans="1:48">
      <c r="A78" s="560"/>
      <c r="B78" s="551"/>
      <c r="C78" s="47" t="s">
        <v>341</v>
      </c>
    </row>
    <row r="79" spans="1:48">
      <c r="A79" s="560"/>
      <c r="B79" s="551"/>
      <c r="C79" s="47" t="s">
        <v>344</v>
      </c>
    </row>
    <row r="80" spans="1:48">
      <c r="A80" s="560"/>
      <c r="B80" s="551"/>
      <c r="C80" s="47" t="s">
        <v>342</v>
      </c>
    </row>
    <row r="81" spans="1:4">
      <c r="A81" s="560"/>
      <c r="B81" s="551"/>
      <c r="C81" s="47" t="s">
        <v>369</v>
      </c>
    </row>
    <row r="82" spans="1:4">
      <c r="A82" s="560"/>
      <c r="B82" s="551"/>
      <c r="C82" s="47" t="s">
        <v>346</v>
      </c>
      <c r="D82">
        <v>1</v>
      </c>
    </row>
    <row r="83" spans="1:4">
      <c r="A83" s="560"/>
      <c r="B83" s="551"/>
      <c r="C83" s="47" t="s">
        <v>348</v>
      </c>
      <c r="D83">
        <v>1</v>
      </c>
    </row>
    <row r="84" spans="1:4">
      <c r="A84" s="560"/>
      <c r="B84" s="551"/>
      <c r="C84" s="47" t="s">
        <v>371</v>
      </c>
    </row>
    <row r="85" spans="1:4">
      <c r="A85" s="560"/>
      <c r="B85" s="551"/>
      <c r="C85" s="47" t="s">
        <v>350</v>
      </c>
    </row>
    <row r="86" spans="1:4">
      <c r="A86" s="560"/>
      <c r="B86" s="551"/>
      <c r="C86" s="47" t="s">
        <v>351</v>
      </c>
    </row>
    <row r="87" spans="1:4">
      <c r="A87" s="560"/>
      <c r="B87" s="551"/>
      <c r="C87" s="47" t="s">
        <v>352</v>
      </c>
    </row>
    <row r="88" spans="1:4">
      <c r="A88" s="560"/>
      <c r="B88" s="551"/>
      <c r="C88" s="47" t="s">
        <v>355</v>
      </c>
    </row>
    <row r="89" spans="1:4">
      <c r="A89" s="560"/>
      <c r="B89" s="551"/>
      <c r="C89" s="47" t="s">
        <v>353</v>
      </c>
    </row>
    <row r="90" spans="1:4">
      <c r="A90" s="560"/>
      <c r="B90" s="551"/>
      <c r="C90" s="47" t="s">
        <v>357</v>
      </c>
    </row>
    <row r="91" spans="1:4">
      <c r="A91" s="560"/>
      <c r="B91" s="551"/>
      <c r="C91" s="47" t="s">
        <v>359</v>
      </c>
    </row>
    <row r="92" spans="1:4">
      <c r="A92" s="560"/>
      <c r="B92" s="551"/>
      <c r="C92" s="47" t="s">
        <v>356</v>
      </c>
    </row>
    <row r="93" spans="1:4">
      <c r="A93" s="560"/>
      <c r="B93" s="551"/>
      <c r="C93" s="47" t="s">
        <v>360</v>
      </c>
    </row>
    <row r="94" spans="1:4">
      <c r="A94" s="560"/>
      <c r="B94" s="551"/>
      <c r="C94" s="47" t="s">
        <v>362</v>
      </c>
    </row>
    <row r="95" spans="1:4">
      <c r="A95" s="560"/>
      <c r="B95" s="551"/>
      <c r="C95" s="47" t="s">
        <v>364</v>
      </c>
    </row>
    <row r="96" spans="1:4">
      <c r="A96" s="560"/>
      <c r="B96" s="551"/>
      <c r="C96" s="47" t="s">
        <v>366</v>
      </c>
    </row>
    <row r="97" spans="1:3">
      <c r="A97" s="560"/>
      <c r="B97" s="551"/>
      <c r="C97" s="47" t="s">
        <v>367</v>
      </c>
    </row>
    <row r="98" spans="1:3">
      <c r="A98" s="560"/>
      <c r="B98" s="561" t="s">
        <v>2365</v>
      </c>
      <c r="C98" s="47" t="s">
        <v>331</v>
      </c>
    </row>
    <row r="99" spans="1:3">
      <c r="A99" s="560"/>
      <c r="B99" s="551"/>
      <c r="C99" s="47" t="s">
        <v>333</v>
      </c>
    </row>
    <row r="100" spans="1:3">
      <c r="A100" s="560"/>
      <c r="B100" s="551"/>
      <c r="C100" s="47" t="s">
        <v>285</v>
      </c>
    </row>
    <row r="101" spans="1:3">
      <c r="A101" s="560"/>
      <c r="B101" s="551"/>
      <c r="C101" s="47" t="s">
        <v>283</v>
      </c>
    </row>
    <row r="102" spans="1:3">
      <c r="A102" s="560"/>
      <c r="B102" s="551"/>
      <c r="C102" s="47" t="s">
        <v>287</v>
      </c>
    </row>
    <row r="103" spans="1:3">
      <c r="A103" s="560"/>
      <c r="B103" s="551"/>
      <c r="C103" s="47" t="s">
        <v>289</v>
      </c>
    </row>
    <row r="104" spans="1:3">
      <c r="A104" s="560"/>
      <c r="B104" s="551"/>
      <c r="C104" s="47" t="s">
        <v>291</v>
      </c>
    </row>
    <row r="105" spans="1:3">
      <c r="A105" s="560"/>
      <c r="B105" s="551"/>
      <c r="C105" s="47" t="s">
        <v>299</v>
      </c>
    </row>
    <row r="106" spans="1:3">
      <c r="A106" s="560"/>
      <c r="B106" s="551"/>
      <c r="C106" s="47" t="s">
        <v>307</v>
      </c>
    </row>
    <row r="107" spans="1:3">
      <c r="A107" s="560"/>
      <c r="B107" s="551"/>
      <c r="C107" s="47" t="s">
        <v>303</v>
      </c>
    </row>
    <row r="108" spans="1:3">
      <c r="A108" s="560"/>
      <c r="B108" s="551"/>
      <c r="C108" s="47" t="s">
        <v>305</v>
      </c>
    </row>
    <row r="109" spans="1:3">
      <c r="A109" s="560"/>
      <c r="B109" s="551"/>
      <c r="C109" s="47" t="s">
        <v>301</v>
      </c>
    </row>
    <row r="110" spans="1:3">
      <c r="A110" s="560"/>
      <c r="B110" s="551"/>
      <c r="C110" s="47" t="s">
        <v>295</v>
      </c>
    </row>
    <row r="111" spans="1:3">
      <c r="A111" s="560"/>
      <c r="B111" s="551"/>
      <c r="C111" s="47" t="s">
        <v>297</v>
      </c>
    </row>
    <row r="112" spans="1:3">
      <c r="A112" s="560"/>
      <c r="B112" s="551"/>
      <c r="C112" s="47" t="s">
        <v>293</v>
      </c>
    </row>
    <row r="113" spans="1:4">
      <c r="A113" s="560"/>
      <c r="B113" s="551"/>
      <c r="C113" s="47" t="s">
        <v>309</v>
      </c>
      <c r="D113">
        <v>1</v>
      </c>
    </row>
    <row r="114" spans="1:4">
      <c r="A114" s="560"/>
      <c r="B114" s="551"/>
      <c r="C114" s="47" t="s">
        <v>311</v>
      </c>
    </row>
    <row r="115" spans="1:4">
      <c r="A115" s="560"/>
      <c r="B115" s="551"/>
      <c r="C115" s="47" t="s">
        <v>313</v>
      </c>
    </row>
    <row r="116" spans="1:4">
      <c r="A116" s="560"/>
      <c r="B116" s="551"/>
      <c r="C116" s="47" t="s">
        <v>315</v>
      </c>
    </row>
    <row r="117" spans="1:4">
      <c r="A117" s="560"/>
      <c r="B117" s="551"/>
      <c r="C117" s="47" t="s">
        <v>317</v>
      </c>
    </row>
    <row r="118" spans="1:4">
      <c r="A118" s="560"/>
      <c r="B118" s="551"/>
      <c r="C118" s="47" t="s">
        <v>319</v>
      </c>
    </row>
    <row r="119" spans="1:4">
      <c r="A119" s="560"/>
      <c r="B119" s="551"/>
      <c r="C119" s="47" t="s">
        <v>321</v>
      </c>
    </row>
    <row r="120" spans="1:4">
      <c r="A120" s="560"/>
      <c r="B120" s="551"/>
      <c r="C120" s="47" t="s">
        <v>323</v>
      </c>
    </row>
    <row r="121" spans="1:4">
      <c r="A121" s="560"/>
      <c r="B121" s="551"/>
      <c r="C121" s="47" t="s">
        <v>325</v>
      </c>
    </row>
    <row r="122" spans="1:4">
      <c r="A122" s="560"/>
      <c r="B122" s="551"/>
      <c r="C122" s="47" t="s">
        <v>327</v>
      </c>
    </row>
    <row r="123" spans="1:4">
      <c r="A123" s="560"/>
      <c r="B123" s="562"/>
      <c r="C123" s="47" t="s">
        <v>329</v>
      </c>
    </row>
    <row r="124" spans="1:4">
      <c r="A124" s="560"/>
      <c r="B124" s="561" t="s">
        <v>2366</v>
      </c>
      <c r="C124" s="142" t="s">
        <v>383</v>
      </c>
    </row>
    <row r="125" spans="1:4">
      <c r="A125" s="560"/>
      <c r="B125" s="551"/>
      <c r="C125" s="142" t="s">
        <v>381</v>
      </c>
    </row>
    <row r="126" spans="1:4">
      <c r="A126" s="560"/>
      <c r="B126" s="551"/>
      <c r="C126" s="142" t="s">
        <v>385</v>
      </c>
    </row>
    <row r="127" spans="1:4">
      <c r="A127" s="560"/>
      <c r="B127" s="551"/>
      <c r="C127" s="142" t="s">
        <v>387</v>
      </c>
    </row>
    <row r="128" spans="1:4">
      <c r="A128" s="560"/>
      <c r="B128" s="551"/>
      <c r="C128" s="142" t="s">
        <v>389</v>
      </c>
    </row>
    <row r="129" spans="1:3">
      <c r="A129" s="560"/>
      <c r="B129" s="551"/>
      <c r="C129" s="142" t="s">
        <v>393</v>
      </c>
    </row>
    <row r="130" spans="1:3">
      <c r="A130" s="560"/>
      <c r="B130" s="551"/>
      <c r="C130" s="142" t="s">
        <v>391</v>
      </c>
    </row>
    <row r="131" spans="1:3">
      <c r="A131" s="560"/>
      <c r="B131" s="551"/>
      <c r="C131" s="142" t="s">
        <v>10</v>
      </c>
    </row>
    <row r="132" spans="1:3">
      <c r="A132" s="560"/>
      <c r="B132" s="551"/>
      <c r="C132" s="142" t="s">
        <v>396</v>
      </c>
    </row>
    <row r="133" spans="1:3">
      <c r="A133" s="560"/>
      <c r="B133" s="551"/>
      <c r="C133" s="142" t="s">
        <v>398</v>
      </c>
    </row>
    <row r="134" spans="1:3">
      <c r="A134" s="560"/>
      <c r="B134" s="551"/>
      <c r="C134" s="142" t="s">
        <v>400</v>
      </c>
    </row>
    <row r="135" spans="1:3" ht="15" customHeight="1">
      <c r="A135" s="560"/>
      <c r="B135" s="563" t="s">
        <v>2367</v>
      </c>
      <c r="C135" s="47" t="s">
        <v>373</v>
      </c>
    </row>
    <row r="136" spans="1:3" ht="15" customHeight="1">
      <c r="A136" s="560"/>
      <c r="B136" s="565"/>
      <c r="C136" s="47" t="s">
        <v>375</v>
      </c>
    </row>
    <row r="137" spans="1:3" ht="15" customHeight="1">
      <c r="A137" s="560"/>
      <c r="B137" s="565"/>
      <c r="C137" s="47" t="s">
        <v>377</v>
      </c>
    </row>
    <row r="138" spans="1:3" ht="15" customHeight="1">
      <c r="A138" s="560"/>
      <c r="B138" s="564"/>
      <c r="C138" s="47" t="s">
        <v>379</v>
      </c>
    </row>
    <row r="139" spans="1:3">
      <c r="A139" s="560"/>
      <c r="B139" s="563" t="s">
        <v>2193</v>
      </c>
      <c r="C139" s="142" t="s">
        <v>402</v>
      </c>
    </row>
    <row r="140" spans="1:3">
      <c r="A140" s="560"/>
      <c r="B140" s="564"/>
      <c r="C140" s="142" t="s">
        <v>404</v>
      </c>
    </row>
  </sheetData>
  <dataConsolidate/>
  <mergeCells count="14">
    <mergeCell ref="A74:A140"/>
    <mergeCell ref="AM1:AQ1"/>
    <mergeCell ref="B74:B97"/>
    <mergeCell ref="B98:B123"/>
    <mergeCell ref="B124:B134"/>
    <mergeCell ref="B139:B140"/>
    <mergeCell ref="B135:B138"/>
    <mergeCell ref="A5:A8"/>
    <mergeCell ref="B5:B8"/>
    <mergeCell ref="A10:A72"/>
    <mergeCell ref="B10:B27"/>
    <mergeCell ref="B29:B42"/>
    <mergeCell ref="B44:B72"/>
    <mergeCell ref="AM2:AP2"/>
  </mergeCells>
  <pageMargins left="0.7" right="0.7" top="0.75" bottom="0.75" header="0.3" footer="0.3"/>
  <pageSetup paperSize="3" fitToHeight="0"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B1:R68"/>
  <sheetViews>
    <sheetView zoomScale="70" zoomScaleNormal="70" zoomScaleSheetLayoutView="55" workbookViewId="0">
      <selection activeCell="D26" sqref="D26"/>
    </sheetView>
  </sheetViews>
  <sheetFormatPr defaultRowHeight="55.5" customHeight="1"/>
  <cols>
    <col min="1" max="1" width="9.140625" style="257"/>
    <col min="2" max="2" width="1.140625" style="257" customWidth="1"/>
    <col min="3" max="3" width="25.5703125" style="257" customWidth="1"/>
    <col min="4" max="4" width="51.28515625" style="257" customWidth="1"/>
    <col min="5" max="5" width="14.7109375" style="257" customWidth="1"/>
    <col min="6" max="6" width="14.85546875" style="257" customWidth="1"/>
    <col min="7" max="7" width="18.140625" style="257" customWidth="1"/>
    <col min="8" max="8" width="13.5703125" style="257" bestFit="1" customWidth="1"/>
    <col min="9" max="9" width="15.42578125" style="257" customWidth="1"/>
    <col min="10" max="10" width="19.85546875" style="257" customWidth="1"/>
    <col min="11" max="11" width="19.42578125" style="257" customWidth="1"/>
    <col min="12" max="12" width="25" style="257" customWidth="1"/>
    <col min="13" max="13" width="6.7109375" style="257" customWidth="1"/>
    <col min="14" max="16" width="9.140625" style="257"/>
    <col min="17" max="17" width="28.7109375" style="257" bestFit="1" customWidth="1"/>
    <col min="18" max="16384" width="9.140625" style="257"/>
  </cols>
  <sheetData>
    <row r="1" spans="3:18" s="269" customFormat="1" ht="20.25">
      <c r="Q1" s="270">
        <f ca="1">NOW()</f>
        <v>41703.474430092596</v>
      </c>
      <c r="R1" s="271" t="str">
        <f ca="1">LEFT(SUBSTITUTE(Q1,".","0",1),8)</f>
        <v>41703047</v>
      </c>
    </row>
    <row r="2" spans="3:18" s="269" customFormat="1" ht="22.5">
      <c r="C2" s="570" t="s">
        <v>2095</v>
      </c>
      <c r="D2" s="570"/>
      <c r="E2" s="570"/>
      <c r="F2" s="570"/>
      <c r="G2" s="272"/>
      <c r="H2" s="272"/>
      <c r="I2" s="575" t="s">
        <v>2092</v>
      </c>
      <c r="J2" s="576"/>
      <c r="K2" s="576"/>
      <c r="L2" s="577"/>
      <c r="O2" s="265"/>
      <c r="P2" s="273"/>
    </row>
    <row r="3" spans="3:18" s="269" customFormat="1" ht="25.5" customHeight="1">
      <c r="C3" s="570"/>
      <c r="D3" s="570"/>
      <c r="E3" s="570"/>
      <c r="F3" s="570"/>
      <c r="G3" s="272"/>
      <c r="H3" s="272"/>
      <c r="I3" s="571" t="s">
        <v>2093</v>
      </c>
      <c r="J3" s="572"/>
      <c r="K3" s="571" t="s">
        <v>2094</v>
      </c>
      <c r="L3" s="572"/>
      <c r="O3" s="265"/>
      <c r="P3" s="274"/>
    </row>
    <row r="4" spans="3:18" s="269" customFormat="1" ht="22.5" customHeight="1">
      <c r="C4" s="570"/>
      <c r="D4" s="570"/>
      <c r="E4" s="570"/>
      <c r="F4" s="570"/>
      <c r="G4" s="272"/>
      <c r="H4" s="272"/>
      <c r="I4" s="578" t="str">
        <f ca="1">"DORD"&amp;R1</f>
        <v>DORD41703047</v>
      </c>
      <c r="J4" s="579"/>
      <c r="K4" s="573">
        <f ca="1">TODAY()</f>
        <v>41703</v>
      </c>
      <c r="L4" s="574"/>
      <c r="O4" s="265"/>
      <c r="P4" s="274"/>
    </row>
    <row r="5" spans="3:18" s="269" customFormat="1" ht="20.25">
      <c r="C5" s="570"/>
      <c r="D5" s="570"/>
      <c r="E5" s="570"/>
      <c r="F5" s="570"/>
      <c r="G5" s="272"/>
      <c r="H5" s="272"/>
      <c r="I5" s="272"/>
      <c r="J5" s="272"/>
    </row>
    <row r="6" spans="3:18" s="269" customFormat="1" ht="21.75" customHeight="1">
      <c r="C6" s="587" t="s">
        <v>2167</v>
      </c>
      <c r="D6" s="587"/>
      <c r="E6" s="587"/>
      <c r="F6" s="587"/>
    </row>
    <row r="7" spans="3:18" s="269" customFormat="1" ht="21" customHeight="1">
      <c r="C7" s="305"/>
      <c r="D7" s="306" t="s">
        <v>2168</v>
      </c>
      <c r="E7" s="305"/>
      <c r="F7" s="305"/>
    </row>
    <row r="8" spans="3:18" s="269" customFormat="1" ht="21" customHeight="1">
      <c r="C8" s="305"/>
      <c r="D8" s="306" t="s">
        <v>2169</v>
      </c>
      <c r="E8" s="305"/>
      <c r="F8" s="305"/>
    </row>
    <row r="9" spans="3:18" s="269" customFormat="1" ht="21" customHeight="1">
      <c r="C9" s="305"/>
      <c r="D9" s="306" t="s">
        <v>2170</v>
      </c>
      <c r="E9" s="305"/>
      <c r="F9" s="305"/>
    </row>
    <row r="10" spans="3:18" s="269" customFormat="1" ht="33" customHeight="1">
      <c r="D10" s="381" t="s">
        <v>2171</v>
      </c>
    </row>
    <row r="11" spans="3:18" s="283" customFormat="1" ht="26.25" customHeight="1">
      <c r="C11" s="284" t="s">
        <v>2096</v>
      </c>
      <c r="D11" s="284"/>
      <c r="H11" s="284" t="s">
        <v>2114</v>
      </c>
    </row>
    <row r="12" spans="3:18" s="283" customFormat="1" ht="26.25" customHeight="1">
      <c r="C12" s="283" t="str">
        <f>UPPER(Inputs!E7)</f>
        <v>TRI-STATE</v>
      </c>
      <c r="H12" s="283" t="str">
        <f>IF(Inputs!$E$18="yes",UPPER(Inputs!E7),UPPER(Inputs!E19))</f>
        <v>TRI-STATE</v>
      </c>
    </row>
    <row r="13" spans="3:18" s="283" customFormat="1" ht="26.25" customHeight="1">
      <c r="C13" s="283" t="str">
        <f>UPPER(Inputs!E12)</f>
        <v>ACCOUNTS PAYABLE</v>
      </c>
      <c r="H13" s="283" t="str">
        <f>IF(Inputs!$E$18="yes",UPPER(Inputs!E12),UPPER(Inputs!E20))</f>
        <v>ACCOUNTS PAYABLE</v>
      </c>
    </row>
    <row r="14" spans="3:18" s="283" customFormat="1" ht="26.25" customHeight="1">
      <c r="C14" s="283" t="str">
        <f>UPPER(Inputs!E13)</f>
        <v>PO BOX 1288</v>
      </c>
      <c r="H14" s="283" t="str">
        <f>IF(Inputs!$E$18="yes",UPPER(Inputs!E13),UPPER(Inputs!E21))</f>
        <v>PO BOX 1288</v>
      </c>
    </row>
    <row r="15" spans="3:18" s="283" customFormat="1" ht="26.25" customHeight="1">
      <c r="C15" s="283" t="str">
        <f>UPPER(Inputs!E14)&amp;", "&amp;UPPER(Inputs!E15)&amp;" "&amp;TEXT(Inputs!E16,"00000")</f>
        <v>MELVILLE, NY 11747</v>
      </c>
      <c r="H15" s="283" t="str">
        <f>IF(Inputs!$E$18="yes",UPPER(Inputs!E14)&amp;", "&amp; UPPER(Inputs!E15)&amp;" "&amp;Inputs!E16,UPPER(Inputs!E22)&amp;", "&amp;UPPER(Inputs!E23)&amp;" "&amp;TEXT(Inputs!E24,"00000"))</f>
        <v>MELVILLE, NY 11747</v>
      </c>
    </row>
    <row r="16" spans="3:18" s="283" customFormat="1" ht="26.25" customHeight="1">
      <c r="C16" s="283" t="str">
        <f>"Phone: "&amp;Inputs!E17</f>
        <v>Phone: (631)-843-5500</v>
      </c>
      <c r="H16" s="283" t="str">
        <f>IF(Inputs!$E$18="yes","Phone: "&amp;UPPER(Inputs!E17),"Phone: "&amp;UPPER(Inputs!E25))</f>
        <v>Phone: (631)-843-5500</v>
      </c>
    </row>
    <row r="17" spans="2:13" s="269" customFormat="1" ht="20.25"/>
    <row r="18" spans="2:13" s="282" customFormat="1" ht="32.25" customHeight="1">
      <c r="C18" s="282" t="str">
        <f>"Cust. Number: "&amp; Inputs!E8</f>
        <v>Cust. Number: 100812</v>
      </c>
      <c r="D18" s="285"/>
      <c r="E18" s="586" t="str">
        <f>"Est. Ship Date: "&amp;IF(Inputs!E31&lt;&gt;0,TEXT(Inputs!E31,"DD/MM/YYYY"),"")</f>
        <v>Est. Ship Date: 15/01/2014</v>
      </c>
      <c r="F18" s="586"/>
      <c r="G18" s="586"/>
      <c r="H18" s="282" t="str">
        <f>"Cust Rqt Date: "&amp;IF(Inputs!E32&lt;&gt;0,TEXT(Inputs!E32,"MM/DD/YYYY"),"")</f>
        <v xml:space="preserve">Cust Rqt Date: </v>
      </c>
      <c r="K18" s="282" t="str">
        <f>"M/F: "&amp;Inputs!E26</f>
        <v>M/F: TECH- LEE GOSS</v>
      </c>
    </row>
    <row r="19" spans="2:13" s="269" customFormat="1" ht="20.25"/>
    <row r="20" spans="2:13" s="269" customFormat="1" ht="26.25" customHeight="1">
      <c r="B20" s="275"/>
      <c r="C20" s="582" t="s">
        <v>2110</v>
      </c>
      <c r="D20" s="582"/>
      <c r="E20" s="583"/>
      <c r="F20" s="591" t="s">
        <v>2111</v>
      </c>
      <c r="G20" s="591"/>
      <c r="H20" s="581" t="s">
        <v>2112</v>
      </c>
      <c r="I20" s="582"/>
      <c r="J20" s="583"/>
      <c r="K20" s="581" t="s">
        <v>2113</v>
      </c>
      <c r="L20" s="582"/>
      <c r="M20" s="276"/>
    </row>
    <row r="21" spans="2:13" s="269" customFormat="1" ht="26.25" customHeight="1">
      <c r="B21" s="277"/>
      <c r="C21" s="579">
        <f>Inputs!E33</f>
        <v>10544351</v>
      </c>
      <c r="D21" s="590"/>
      <c r="E21" s="590"/>
      <c r="F21" s="578" t="str">
        <f>Inputs!E34</f>
        <v>UPS</v>
      </c>
      <c r="G21" s="579"/>
      <c r="H21" s="578">
        <f>VLOOKUP(Inputs!E6,Vinyl!V:W,2,FALSE)</f>
        <v>51</v>
      </c>
      <c r="I21" s="584"/>
      <c r="J21" s="579"/>
      <c r="K21" s="578" t="str">
        <f>Inputs!E36</f>
        <v>1% 10 NET 30</v>
      </c>
      <c r="L21" s="584"/>
      <c r="M21" s="276"/>
    </row>
    <row r="22" spans="2:13" s="269" customFormat="1" ht="20.25">
      <c r="B22" s="278"/>
      <c r="C22" s="265"/>
      <c r="D22" s="265"/>
      <c r="E22" s="265"/>
    </row>
    <row r="23" spans="2:13" s="269" customFormat="1" ht="41.25" customHeight="1">
      <c r="B23" s="277"/>
      <c r="C23" s="588" t="s">
        <v>2161</v>
      </c>
      <c r="D23" s="589"/>
      <c r="E23" s="279" t="s">
        <v>2115</v>
      </c>
      <c r="F23" s="279" t="s">
        <v>2116</v>
      </c>
      <c r="G23" s="279" t="s">
        <v>2117</v>
      </c>
      <c r="H23" s="279" t="s">
        <v>2118</v>
      </c>
      <c r="I23" s="279" t="s">
        <v>2119</v>
      </c>
      <c r="J23" s="279" t="s">
        <v>2120</v>
      </c>
      <c r="K23" s="279" t="s">
        <v>2121</v>
      </c>
      <c r="L23" s="279" t="s">
        <v>2122</v>
      </c>
    </row>
    <row r="24" spans="2:13" s="256" customFormat="1" ht="95.25" customHeight="1">
      <c r="B24" s="258"/>
      <c r="C24" s="267" t="str">
        <f>IF(Config!F33="","",Config!F33)</f>
        <v>QDU-5479</v>
      </c>
      <c r="D24" s="268" t="str">
        <f>IF(Config!S33="","",Config!S33)</f>
        <v>Delivery System, Swing-Mounted Dr. Cntl. With Monitor Arm , L/R Cuspidor &amp; J-Box</v>
      </c>
      <c r="E24" s="351" t="str">
        <f>IF(D24&lt;&gt;"","MD1","")</f>
        <v>MD1</v>
      </c>
      <c r="F24" s="351" t="str">
        <f>IF(E24&lt;&gt;"","EA","")</f>
        <v>EA</v>
      </c>
      <c r="G24" s="351">
        <f>IF(Config!N33="","",Config!N33)</f>
        <v>1</v>
      </c>
      <c r="H24" s="351"/>
      <c r="I24" s="351"/>
      <c r="J24" s="351"/>
      <c r="K24" s="288">
        <f>Config!W33</f>
        <v>7586</v>
      </c>
      <c r="L24" s="289">
        <f>IF(ISERROR(K24*G24),"",K24*G24)</f>
        <v>7586</v>
      </c>
    </row>
    <row r="25" spans="2:13" s="256" customFormat="1" ht="95.25" customHeight="1">
      <c r="B25" s="266"/>
      <c r="C25" s="299" t="str">
        <f>IF(Config!F34="","",Config!F34)</f>
        <v>Q-5000</v>
      </c>
      <c r="D25" s="296" t="str">
        <f>IF(Config!S34="","",Config!S34)</f>
        <v>Chair, Quolis™ , (QSS &amp; QSW styles W/ Ultraleather™ Upholstery, Std. Colors)</v>
      </c>
      <c r="E25" s="352" t="str">
        <f t="shared" ref="E25:E32" si="0">IF(D25&lt;&gt;"","MD1","")</f>
        <v>MD1</v>
      </c>
      <c r="F25" s="352" t="str">
        <f t="shared" ref="F25:F32" si="1">IF(E25&lt;&gt;"","EA","")</f>
        <v>EA</v>
      </c>
      <c r="G25" s="352">
        <f>IF(Config!N34="","",Config!N34)</f>
        <v>1</v>
      </c>
      <c r="H25" s="352"/>
      <c r="I25" s="352"/>
      <c r="J25" s="353"/>
      <c r="K25" s="290">
        <f>Config!W34</f>
        <v>6180.5</v>
      </c>
      <c r="L25" s="291">
        <f t="shared" ref="L25:L32" si="2">IF(ISERROR(K25*G25),"",K25*G25)</f>
        <v>6180.5</v>
      </c>
    </row>
    <row r="26" spans="2:13" s="256" customFormat="1" ht="95.25" customHeight="1">
      <c r="B26" s="266"/>
      <c r="C26" s="299" t="str">
        <f>IF(Config!F35="","",Config!F35)</f>
        <v>097WK31</v>
      </c>
      <c r="D26" s="297" t="str">
        <f>IF(Config!S35="","",Config!S35)</f>
        <v>X-Ray, Bel-Ray II Intra-Oral, AC, 31" arm</v>
      </c>
      <c r="E26" s="354" t="str">
        <f t="shared" si="0"/>
        <v>MD1</v>
      </c>
      <c r="F26" s="354" t="str">
        <f t="shared" si="1"/>
        <v>EA</v>
      </c>
      <c r="G26" s="354">
        <f>IF(Config!N35="","",Config!N35)</f>
        <v>1</v>
      </c>
      <c r="H26" s="354"/>
      <c r="I26" s="354"/>
      <c r="J26" s="355"/>
      <c r="K26" s="292">
        <f>Config!W35</f>
        <v>3018</v>
      </c>
      <c r="L26" s="293">
        <f t="shared" si="2"/>
        <v>3018</v>
      </c>
    </row>
    <row r="27" spans="2:13" s="256" customFormat="1" ht="95.25" customHeight="1">
      <c r="B27" s="266"/>
      <c r="C27" s="299" t="str">
        <f>IF(Config!F36="","",Config!F36)</f>
        <v>D-42</v>
      </c>
      <c r="D27" s="297" t="str">
        <f>IF(Config!S36="","",Config!S36)</f>
        <v>Cabinet, X-ray Pass Through, 42" Wide</v>
      </c>
      <c r="E27" s="354" t="str">
        <f t="shared" si="0"/>
        <v>MD1</v>
      </c>
      <c r="F27" s="354" t="str">
        <f t="shared" si="1"/>
        <v>EA</v>
      </c>
      <c r="G27" s="354">
        <f>IF(Config!N36="","",Config!N36)</f>
        <v>1</v>
      </c>
      <c r="H27" s="354"/>
      <c r="I27" s="354"/>
      <c r="J27" s="355"/>
      <c r="K27" s="292">
        <f>Config!W36</f>
        <v>950.5</v>
      </c>
      <c r="L27" s="293">
        <f t="shared" si="2"/>
        <v>950.5</v>
      </c>
    </row>
    <row r="28" spans="2:13" s="256" customFormat="1" ht="95.25" customHeight="1">
      <c r="B28" s="266"/>
      <c r="C28" s="299" t="str">
        <f>IF(Config!F37="","",Config!F37)</f>
        <v>091</v>
      </c>
      <c r="D28" s="297" t="str">
        <f>IF(Config!S37="","",Config!S37)</f>
        <v>Stool, Assistant, 20"-26" height, Duration, Std. Colors                                                                                                                                                    (Specify right or left hand armrest)</v>
      </c>
      <c r="E28" s="354" t="str">
        <f t="shared" si="0"/>
        <v>MD1</v>
      </c>
      <c r="F28" s="354" t="str">
        <f t="shared" si="1"/>
        <v>EA</v>
      </c>
      <c r="G28" s="354">
        <f>IF(Config!N37="","",Config!N37)</f>
        <v>1</v>
      </c>
      <c r="H28" s="354"/>
      <c r="I28" s="354"/>
      <c r="J28" s="355"/>
      <c r="K28" s="292">
        <f>Config!W37</f>
        <v>463.5</v>
      </c>
      <c r="L28" s="293">
        <f t="shared" si="2"/>
        <v>463.5</v>
      </c>
    </row>
    <row r="29" spans="2:13" s="256" customFormat="1" ht="95.25" customHeight="1">
      <c r="B29" s="266"/>
      <c r="C29" s="299" t="str">
        <f>IF(Config!F38="","",Config!F38)</f>
        <v>AL-518T</v>
      </c>
      <c r="D29" s="297" t="str">
        <f>IF(Config!S38="","",Config!S38)</f>
        <v>Light, Wall Mount, Clesta</v>
      </c>
      <c r="E29" s="354" t="str">
        <f t="shared" si="0"/>
        <v>MD1</v>
      </c>
      <c r="F29" s="354" t="str">
        <f t="shared" si="1"/>
        <v>EA</v>
      </c>
      <c r="G29" s="354">
        <f>IF(Config!N38="","",Config!N38)</f>
        <v>1</v>
      </c>
      <c r="H29" s="354"/>
      <c r="I29" s="354"/>
      <c r="J29" s="355"/>
      <c r="K29" s="292">
        <f>Config!W38</f>
        <v>1774.5</v>
      </c>
      <c r="L29" s="293">
        <f t="shared" si="2"/>
        <v>1774.5</v>
      </c>
    </row>
    <row r="30" spans="2:13" s="256" customFormat="1" ht="95.25" customHeight="1">
      <c r="B30" s="266"/>
      <c r="C30" s="299" t="str">
        <f>IF(Config!F39="","",Config!F39)</f>
        <v>D-4R</v>
      </c>
      <c r="D30" s="297" t="str">
        <f>IF(Config!S39="","",Config!S39)</f>
        <v>Cabinet, Split Entry Console 72" Tall</v>
      </c>
      <c r="E30" s="354" t="str">
        <f t="shared" si="0"/>
        <v>MD1</v>
      </c>
      <c r="F30" s="354" t="str">
        <f t="shared" si="1"/>
        <v>EA</v>
      </c>
      <c r="G30" s="354">
        <f>IF(Config!N39="","",Config!N39)</f>
        <v>1</v>
      </c>
      <c r="H30" s="354"/>
      <c r="I30" s="354"/>
      <c r="J30" s="355"/>
      <c r="K30" s="292">
        <f>Config!W39</f>
        <v>5943.5</v>
      </c>
      <c r="L30" s="293">
        <f t="shared" si="2"/>
        <v>5943.5</v>
      </c>
    </row>
    <row r="31" spans="2:13" s="256" customFormat="1" ht="95.25" customHeight="1">
      <c r="B31" s="266"/>
      <c r="C31" s="299" t="str">
        <f>IF(Config!F40="","",Config!F40)</f>
        <v>B-20N</v>
      </c>
      <c r="D31" s="297" t="str">
        <f>IF(Config!S40="","",Config!S40)</f>
        <v>Chair, X-Calibur, (W/ Duration Upholstery, Std. Colors)</v>
      </c>
      <c r="E31" s="354" t="str">
        <f t="shared" si="0"/>
        <v>MD1</v>
      </c>
      <c r="F31" s="354" t="str">
        <f t="shared" si="1"/>
        <v>EA</v>
      </c>
      <c r="G31" s="354">
        <f>IF(Config!N40="","",Config!N40)</f>
        <v>1</v>
      </c>
      <c r="H31" s="354"/>
      <c r="I31" s="354"/>
      <c r="J31" s="355"/>
      <c r="K31" s="292">
        <f>Config!W40</f>
        <v>3615.5</v>
      </c>
      <c r="L31" s="293">
        <f t="shared" si="2"/>
        <v>3615.5</v>
      </c>
    </row>
    <row r="32" spans="2:13" s="256" customFormat="1" ht="95.25" customHeight="1">
      <c r="B32" s="259"/>
      <c r="C32" s="300" t="str">
        <f>IF(Config!F41="","",Config!F41)</f>
        <v>AL-901R</v>
      </c>
      <c r="D32" s="298" t="str">
        <f>IF(Config!S41="","",Config!S41)</f>
        <v>Light, Bel-Halo LED, Post Mount, White                                                        (Requires BDS0012, BDS0013 post                                     or 8482B post+ chair adapter)</v>
      </c>
      <c r="E32" s="356" t="str">
        <f t="shared" si="0"/>
        <v>MD1</v>
      </c>
      <c r="F32" s="356" t="str">
        <f t="shared" si="1"/>
        <v>EA</v>
      </c>
      <c r="G32" s="356">
        <f>IF(Config!N41="","",Config!N41)</f>
        <v>1</v>
      </c>
      <c r="H32" s="356"/>
      <c r="I32" s="356"/>
      <c r="J32" s="357"/>
      <c r="K32" s="294">
        <f>Config!W41</f>
        <v>2068</v>
      </c>
      <c r="L32" s="295">
        <f t="shared" si="2"/>
        <v>2068</v>
      </c>
    </row>
    <row r="33" spans="2:12" s="256" customFormat="1" ht="6" customHeight="1">
      <c r="B33" s="260"/>
      <c r="C33" s="257">
        <f>Config!F42</f>
        <v>0</v>
      </c>
      <c r="D33" s="257"/>
      <c r="E33" s="257"/>
      <c r="F33" s="257"/>
      <c r="G33" s="257"/>
      <c r="H33" s="257"/>
      <c r="I33" s="257"/>
      <c r="J33" s="257"/>
      <c r="K33" s="257"/>
      <c r="L33" s="261"/>
    </row>
    <row r="34" spans="2:12" s="256" customFormat="1" ht="33.75" customHeight="1" thickBot="1">
      <c r="B34" s="260"/>
      <c r="C34" s="301" t="s">
        <v>2124</v>
      </c>
      <c r="D34" s="264"/>
      <c r="E34" s="257"/>
      <c r="F34" s="257"/>
      <c r="G34" s="257"/>
      <c r="H34" s="257"/>
      <c r="I34" s="302" t="s">
        <v>2123</v>
      </c>
      <c r="J34" s="265"/>
      <c r="K34" s="265"/>
      <c r="L34" s="307">
        <f>SUM(L24:L32)</f>
        <v>31600</v>
      </c>
    </row>
    <row r="35" spans="2:12" s="256" customFormat="1" ht="20.25" customHeight="1" thickTop="1">
      <c r="B35" s="260"/>
      <c r="C35" s="263" t="str">
        <f>D18&amp;" PO "&amp;C21&amp;" "&amp;Inputs!E8 &amp;" "&amp;Inputs!E30</f>
        <v xml:space="preserve"> PO 10544351 100812 Put Extra Packing Peanuts in the Boxes</v>
      </c>
      <c r="D35" s="257"/>
      <c r="E35" s="257"/>
      <c r="F35" s="257"/>
      <c r="G35" s="257"/>
      <c r="H35" s="257"/>
      <c r="I35" s="303"/>
      <c r="J35" s="265"/>
      <c r="K35" s="265"/>
      <c r="L35" s="308"/>
    </row>
    <row r="36" spans="2:12" s="256" customFormat="1" ht="23.25" customHeight="1">
      <c r="B36" s="260"/>
      <c r="C36" s="257"/>
      <c r="D36" s="257"/>
      <c r="E36" s="257"/>
      <c r="F36" s="257"/>
      <c r="G36" s="257"/>
      <c r="H36" s="257"/>
      <c r="I36" s="303" t="s">
        <v>2126</v>
      </c>
      <c r="J36" s="265"/>
      <c r="K36" s="265"/>
      <c r="L36" s="308"/>
    </row>
    <row r="37" spans="2:12" s="256" customFormat="1" ht="23.25" customHeight="1">
      <c r="B37" s="260"/>
      <c r="C37" s="257"/>
      <c r="D37" s="257"/>
      <c r="E37" s="257"/>
      <c r="F37" s="257"/>
      <c r="G37" s="257"/>
      <c r="H37" s="257"/>
      <c r="I37" s="303" t="s">
        <v>2127</v>
      </c>
      <c r="J37" s="265"/>
      <c r="K37" s="265"/>
      <c r="L37" s="308"/>
    </row>
    <row r="38" spans="2:12" s="256" customFormat="1" ht="23.25" customHeight="1">
      <c r="B38" s="260"/>
      <c r="C38" s="257"/>
      <c r="D38" s="257"/>
      <c r="E38" s="257"/>
      <c r="F38" s="257"/>
      <c r="G38" s="257"/>
      <c r="H38" s="257"/>
      <c r="I38" s="303" t="s">
        <v>2128</v>
      </c>
      <c r="J38" s="265"/>
      <c r="K38" s="265"/>
      <c r="L38" s="308"/>
    </row>
    <row r="39" spans="2:12" s="256" customFormat="1" ht="23.25" customHeight="1">
      <c r="B39" s="259"/>
      <c r="C39" s="262"/>
      <c r="D39" s="262"/>
      <c r="E39" s="262"/>
      <c r="F39" s="262"/>
      <c r="G39" s="262"/>
      <c r="H39" s="262"/>
      <c r="I39" s="304" t="s">
        <v>2129</v>
      </c>
      <c r="J39" s="281"/>
      <c r="K39" s="281"/>
      <c r="L39" s="309">
        <f>SUM(L34,L36,L37,L38)</f>
        <v>31600</v>
      </c>
    </row>
    <row r="40" spans="2:12" s="280" customFormat="1" ht="25.5" customHeight="1">
      <c r="C40" s="280" t="s">
        <v>2155</v>
      </c>
      <c r="I40" s="280" t="s">
        <v>2159</v>
      </c>
    </row>
    <row r="41" spans="2:12" s="280" customFormat="1" ht="22.5">
      <c r="C41" s="585" t="s">
        <v>2157</v>
      </c>
      <c r="D41" s="585"/>
      <c r="E41" s="585"/>
      <c r="F41" s="585"/>
      <c r="G41" s="585"/>
      <c r="H41" s="585"/>
      <c r="I41" s="585"/>
      <c r="J41" s="585"/>
      <c r="K41" s="585"/>
      <c r="L41" s="585"/>
    </row>
    <row r="42" spans="2:12" s="280" customFormat="1" ht="22.5" customHeight="1">
      <c r="C42" s="585" t="s">
        <v>2158</v>
      </c>
      <c r="D42" s="585"/>
      <c r="E42" s="585"/>
      <c r="F42" s="585"/>
      <c r="G42" s="585"/>
      <c r="H42" s="585"/>
      <c r="I42" s="585"/>
      <c r="J42" s="585"/>
      <c r="K42" s="286"/>
      <c r="L42" s="286"/>
    </row>
    <row r="43" spans="2:12" s="280" customFormat="1" ht="55.5" customHeight="1">
      <c r="C43" s="287" t="s">
        <v>2156</v>
      </c>
    </row>
    <row r="68" spans="10:11" ht="55.5" customHeight="1">
      <c r="J68" s="580" t="s">
        <v>2123</v>
      </c>
      <c r="K68" s="580"/>
    </row>
  </sheetData>
  <mergeCells count="20">
    <mergeCell ref="E18:G18"/>
    <mergeCell ref="C6:F6"/>
    <mergeCell ref="C23:D23"/>
    <mergeCell ref="C20:E20"/>
    <mergeCell ref="C21:E21"/>
    <mergeCell ref="F20:G20"/>
    <mergeCell ref="F21:G21"/>
    <mergeCell ref="J68:K68"/>
    <mergeCell ref="H20:J20"/>
    <mergeCell ref="H21:J21"/>
    <mergeCell ref="K20:L20"/>
    <mergeCell ref="K21:L21"/>
    <mergeCell ref="C41:L41"/>
    <mergeCell ref="C42:J42"/>
    <mergeCell ref="C2:F5"/>
    <mergeCell ref="K3:L3"/>
    <mergeCell ref="K4:L4"/>
    <mergeCell ref="I2:L2"/>
    <mergeCell ref="I3:J3"/>
    <mergeCell ref="I4:J4"/>
  </mergeCells>
  <pageMargins left="0.25" right="0.25" top="0.75" bottom="0.75" header="0.3" footer="0.3"/>
  <pageSetup scale="41" orientation="portrait" r:id="rId1"/>
  <colBreaks count="1" manualBreakCount="1">
    <brk id="13" max="1048575" man="1"/>
  </col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ColWidth="8.85546875" defaultRowHeight="1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792"/>
  <sheetViews>
    <sheetView topLeftCell="A2" zoomScaleNormal="100" zoomScaleSheetLayoutView="85" zoomScalePageLayoutView="115" workbookViewId="0">
      <selection activeCell="C8" sqref="C8"/>
    </sheetView>
  </sheetViews>
  <sheetFormatPr defaultColWidth="22.42578125" defaultRowHeight="20.25" customHeight="1"/>
  <cols>
    <col min="1" max="1" width="14.7109375" style="1" customWidth="1"/>
    <col min="2" max="2" width="40.140625" style="1" customWidth="1"/>
    <col min="3" max="3" width="17.85546875" style="77" customWidth="1"/>
    <col min="4" max="4" width="25.7109375" style="30" customWidth="1"/>
    <col min="5" max="5" width="18.42578125" style="38" customWidth="1"/>
    <col min="6" max="6" width="10.140625" style="1" customWidth="1"/>
    <col min="7" max="7" width="20.42578125" style="14" customWidth="1"/>
    <col min="8" max="8" width="22.42578125" style="1" customWidth="1"/>
    <col min="9" max="9" width="20.42578125" style="1" customWidth="1"/>
    <col min="10" max="16384" width="22.42578125" style="1"/>
  </cols>
  <sheetData>
    <row r="1" spans="1:10" ht="108" customHeight="1">
      <c r="B1" s="2" t="s">
        <v>11</v>
      </c>
      <c r="C1" s="3"/>
      <c r="D1" s="4" t="s">
        <v>12</v>
      </c>
      <c r="E1" s="101"/>
      <c r="F1" s="6"/>
      <c r="G1" s="5"/>
      <c r="H1" s="5"/>
      <c r="I1" s="5"/>
      <c r="J1" s="5"/>
    </row>
    <row r="2" spans="1:10" ht="74.25" customHeight="1">
      <c r="A2" s="89" t="s">
        <v>13</v>
      </c>
      <c r="B2" s="90"/>
      <c r="C2" s="7" t="s">
        <v>14</v>
      </c>
      <c r="D2" s="8" t="s">
        <v>15</v>
      </c>
      <c r="E2" s="38" t="s">
        <v>1498</v>
      </c>
      <c r="F2" s="9"/>
      <c r="G2" s="1"/>
    </row>
    <row r="3" spans="1:10" ht="80.25" customHeight="1">
      <c r="A3" s="33" t="s">
        <v>337</v>
      </c>
      <c r="B3" s="11" t="s">
        <v>338</v>
      </c>
      <c r="C3" s="12">
        <v>4445</v>
      </c>
      <c r="D3" s="118"/>
      <c r="E3" s="103" t="s">
        <v>1501</v>
      </c>
      <c r="F3" s="14"/>
      <c r="G3" s="1"/>
      <c r="J3" s="13"/>
    </row>
    <row r="4" spans="1:10" ht="80.25" customHeight="1">
      <c r="A4" s="33" t="s">
        <v>335</v>
      </c>
      <c r="B4" s="11" t="s">
        <v>336</v>
      </c>
      <c r="C4" s="12">
        <v>4445</v>
      </c>
      <c r="D4" s="118"/>
      <c r="E4" s="103" t="s">
        <v>1501</v>
      </c>
      <c r="F4" s="14"/>
      <c r="G4" s="1"/>
      <c r="J4" s="13"/>
    </row>
    <row r="5" spans="1:10" ht="80.25" customHeight="1">
      <c r="A5" s="33" t="s">
        <v>339</v>
      </c>
      <c r="B5" s="11" t="s">
        <v>288</v>
      </c>
      <c r="C5" s="45">
        <v>1793</v>
      </c>
      <c r="D5" s="118"/>
      <c r="E5" s="103" t="s">
        <v>1501</v>
      </c>
      <c r="F5" s="14"/>
      <c r="G5" s="1"/>
      <c r="J5" s="13"/>
    </row>
    <row r="6" spans="1:10" ht="80.25" customHeight="1">
      <c r="A6" s="107" t="s">
        <v>340</v>
      </c>
      <c r="B6" s="15" t="s">
        <v>290</v>
      </c>
      <c r="C6" s="12">
        <v>773</v>
      </c>
      <c r="D6" s="118"/>
      <c r="E6" s="103" t="s">
        <v>1501</v>
      </c>
      <c r="F6" s="14"/>
      <c r="G6" s="1"/>
      <c r="J6" s="13"/>
    </row>
    <row r="7" spans="1:10" ht="80.25" customHeight="1">
      <c r="A7" s="33" t="s">
        <v>341</v>
      </c>
      <c r="B7" s="11" t="s">
        <v>292</v>
      </c>
      <c r="C7" s="12">
        <v>1092</v>
      </c>
      <c r="D7" s="118"/>
      <c r="E7" s="103" t="s">
        <v>1501</v>
      </c>
      <c r="F7" s="14"/>
      <c r="G7" s="1"/>
      <c r="J7" s="13"/>
    </row>
    <row r="8" spans="1:10" ht="80.25" customHeight="1">
      <c r="A8" s="33" t="s">
        <v>344</v>
      </c>
      <c r="B8" s="11" t="s">
        <v>345</v>
      </c>
      <c r="C8" s="12">
        <v>4517</v>
      </c>
      <c r="D8" s="118"/>
      <c r="E8" s="103" t="s">
        <v>1501</v>
      </c>
      <c r="F8" s="14"/>
      <c r="G8" s="1"/>
      <c r="J8" s="13"/>
    </row>
    <row r="9" spans="1:10" ht="80.25" customHeight="1">
      <c r="A9" s="33" t="s">
        <v>342</v>
      </c>
      <c r="B9" s="11" t="s">
        <v>343</v>
      </c>
      <c r="C9" s="12">
        <v>4517</v>
      </c>
      <c r="D9" s="118"/>
      <c r="E9" s="103" t="s">
        <v>1501</v>
      </c>
      <c r="F9" s="14"/>
      <c r="G9" s="1"/>
      <c r="J9" s="13"/>
    </row>
    <row r="10" spans="1:10" ht="80.25" customHeight="1">
      <c r="A10" s="33" t="s">
        <v>369</v>
      </c>
      <c r="B10" s="11" t="s">
        <v>370</v>
      </c>
      <c r="C10" s="12">
        <v>1710</v>
      </c>
      <c r="D10" s="118"/>
      <c r="E10" s="103" t="s">
        <v>1501</v>
      </c>
      <c r="F10" s="14"/>
      <c r="G10" s="1"/>
      <c r="J10" s="13"/>
    </row>
    <row r="11" spans="1:10" ht="80.25" customHeight="1">
      <c r="A11" s="33" t="s">
        <v>346</v>
      </c>
      <c r="B11" s="11" t="s">
        <v>347</v>
      </c>
      <c r="C11" s="12">
        <v>10939</v>
      </c>
      <c r="D11" s="118"/>
      <c r="E11" s="103" t="s">
        <v>1501</v>
      </c>
      <c r="F11" s="14"/>
      <c r="G11" s="1"/>
      <c r="J11" s="13"/>
    </row>
    <row r="12" spans="1:10" ht="80.25" customHeight="1">
      <c r="A12" s="33" t="s">
        <v>348</v>
      </c>
      <c r="B12" s="11" t="s">
        <v>349</v>
      </c>
      <c r="C12" s="12">
        <v>11130</v>
      </c>
      <c r="D12" s="118"/>
      <c r="E12" s="103" t="s">
        <v>1501</v>
      </c>
      <c r="F12" s="14"/>
      <c r="G12" s="1"/>
      <c r="J12" s="13"/>
    </row>
    <row r="13" spans="1:10" ht="80.25" customHeight="1">
      <c r="A13" s="33" t="s">
        <v>371</v>
      </c>
      <c r="B13" s="11" t="s">
        <v>372</v>
      </c>
      <c r="C13" s="12">
        <v>1808</v>
      </c>
      <c r="D13" s="118"/>
      <c r="E13" s="103" t="s">
        <v>1501</v>
      </c>
      <c r="F13" s="14"/>
      <c r="G13" s="1"/>
      <c r="J13" s="13"/>
    </row>
    <row r="14" spans="1:10" ht="80.25" customHeight="1">
      <c r="A14" s="33" t="s">
        <v>350</v>
      </c>
      <c r="B14" s="11" t="s">
        <v>312</v>
      </c>
      <c r="C14" s="12">
        <v>5480</v>
      </c>
      <c r="D14" s="118"/>
      <c r="E14" s="103" t="s">
        <v>1501</v>
      </c>
      <c r="F14" s="14"/>
      <c r="G14" s="1"/>
      <c r="J14" s="13"/>
    </row>
    <row r="15" spans="1:10" ht="80.25" customHeight="1">
      <c r="A15" s="33" t="s">
        <v>351</v>
      </c>
      <c r="B15" s="11" t="s">
        <v>314</v>
      </c>
      <c r="C15" s="12">
        <v>3271</v>
      </c>
      <c r="D15" s="125"/>
      <c r="E15" s="103" t="s">
        <v>1501</v>
      </c>
      <c r="F15" s="14"/>
      <c r="G15" s="1"/>
      <c r="J15" s="13"/>
    </row>
    <row r="16" spans="1:10" ht="80.25" customHeight="1">
      <c r="A16" s="33" t="s">
        <v>352</v>
      </c>
      <c r="B16" s="11" t="s">
        <v>316</v>
      </c>
      <c r="C16" s="12">
        <v>6974</v>
      </c>
      <c r="D16" s="118"/>
      <c r="E16" s="103" t="s">
        <v>1501</v>
      </c>
      <c r="F16" s="14"/>
      <c r="G16" s="1"/>
      <c r="J16" s="13"/>
    </row>
    <row r="17" spans="1:10" s="20" customFormat="1" ht="80.25" customHeight="1">
      <c r="A17" s="33" t="s">
        <v>355</v>
      </c>
      <c r="B17" s="11" t="s">
        <v>318</v>
      </c>
      <c r="C17" s="12">
        <v>4424</v>
      </c>
      <c r="D17" s="118"/>
      <c r="E17" s="103" t="s">
        <v>1501</v>
      </c>
      <c r="F17" s="21"/>
      <c r="J17" s="13"/>
    </row>
    <row r="18" spans="1:10" s="20" customFormat="1" ht="80.25" customHeight="1">
      <c r="A18" s="33" t="s">
        <v>353</v>
      </c>
      <c r="B18" s="11" t="s">
        <v>354</v>
      </c>
      <c r="C18" s="12">
        <v>6974</v>
      </c>
      <c r="D18" s="118"/>
      <c r="E18" s="103" t="s">
        <v>1501</v>
      </c>
      <c r="F18" s="21"/>
      <c r="J18" s="13"/>
    </row>
    <row r="19" spans="1:10" s="20" customFormat="1" ht="80.25" customHeight="1">
      <c r="A19" s="33" t="s">
        <v>357</v>
      </c>
      <c r="B19" s="11" t="s">
        <v>358</v>
      </c>
      <c r="C19" s="12">
        <v>9240</v>
      </c>
      <c r="D19" s="118"/>
      <c r="E19" s="103" t="s">
        <v>1501</v>
      </c>
      <c r="F19" s="21"/>
      <c r="J19" s="13"/>
    </row>
    <row r="20" spans="1:10" s="20" customFormat="1" ht="80.25" customHeight="1">
      <c r="A20" s="33" t="s">
        <v>359</v>
      </c>
      <c r="B20" s="11" t="s">
        <v>322</v>
      </c>
      <c r="C20" s="12">
        <v>18788</v>
      </c>
      <c r="D20" s="118"/>
      <c r="E20" s="103" t="s">
        <v>1501</v>
      </c>
      <c r="F20" s="21"/>
      <c r="J20" s="13"/>
    </row>
    <row r="21" spans="1:10" s="20" customFormat="1" ht="80.25" customHeight="1">
      <c r="A21" s="33" t="s">
        <v>356</v>
      </c>
      <c r="B21" s="11" t="s">
        <v>318</v>
      </c>
      <c r="C21" s="12">
        <v>4424</v>
      </c>
      <c r="D21" s="118"/>
      <c r="E21" s="103" t="s">
        <v>1501</v>
      </c>
      <c r="F21" s="21"/>
      <c r="J21" s="13"/>
    </row>
    <row r="22" spans="1:10" s="20" customFormat="1" ht="80.25" customHeight="1">
      <c r="A22" s="33" t="s">
        <v>360</v>
      </c>
      <c r="B22" s="11" t="s">
        <v>361</v>
      </c>
      <c r="C22" s="12">
        <v>13118</v>
      </c>
      <c r="D22" s="118"/>
      <c r="E22" s="103" t="s">
        <v>1501</v>
      </c>
      <c r="F22" s="21"/>
      <c r="J22" s="13"/>
    </row>
    <row r="23" spans="1:10" s="20" customFormat="1" ht="80.25" customHeight="1">
      <c r="A23" s="33" t="s">
        <v>362</v>
      </c>
      <c r="B23" s="11" t="s">
        <v>363</v>
      </c>
      <c r="C23" s="12">
        <v>13118</v>
      </c>
      <c r="D23" s="118"/>
      <c r="E23" s="103" t="s">
        <v>1501</v>
      </c>
      <c r="F23" s="21"/>
      <c r="J23" s="13"/>
    </row>
    <row r="24" spans="1:10" s="20" customFormat="1" ht="80.25" customHeight="1">
      <c r="A24" s="33" t="s">
        <v>364</v>
      </c>
      <c r="B24" s="11" t="s">
        <v>365</v>
      </c>
      <c r="C24" s="12">
        <v>3121</v>
      </c>
      <c r="D24" s="118"/>
      <c r="E24" s="103" t="s">
        <v>1501</v>
      </c>
      <c r="F24" s="21"/>
      <c r="J24" s="13"/>
    </row>
    <row r="25" spans="1:10" s="20" customFormat="1" ht="80.25" customHeight="1">
      <c r="A25" s="33" t="s">
        <v>366</v>
      </c>
      <c r="B25" s="11" t="s">
        <v>330</v>
      </c>
      <c r="C25" s="12">
        <v>1180</v>
      </c>
      <c r="D25" s="118"/>
      <c r="E25" s="103" t="s">
        <v>1501</v>
      </c>
      <c r="F25" s="21"/>
      <c r="J25" s="13"/>
    </row>
    <row r="26" spans="1:10" s="20" customFormat="1" ht="80.25" customHeight="1">
      <c r="A26" s="33" t="s">
        <v>367</v>
      </c>
      <c r="B26" s="11" t="s">
        <v>368</v>
      </c>
      <c r="C26" s="12">
        <v>10450</v>
      </c>
      <c r="D26" s="118"/>
      <c r="E26" s="103" t="s">
        <v>1501</v>
      </c>
      <c r="F26" s="21"/>
      <c r="J26" s="13"/>
    </row>
    <row r="27" spans="1:10" s="20" customFormat="1" ht="80.25" customHeight="1">
      <c r="A27" s="43" t="s">
        <v>331</v>
      </c>
      <c r="B27" s="11" t="s">
        <v>332</v>
      </c>
      <c r="C27" s="12">
        <v>15955</v>
      </c>
      <c r="D27" s="118"/>
      <c r="E27" s="103" t="s">
        <v>1501</v>
      </c>
      <c r="F27" s="21"/>
      <c r="J27" s="13"/>
    </row>
    <row r="28" spans="1:10" s="20" customFormat="1" ht="80.25" customHeight="1">
      <c r="A28" s="43" t="s">
        <v>333</v>
      </c>
      <c r="B28" s="11" t="s">
        <v>334</v>
      </c>
      <c r="C28" s="44">
        <v>19900</v>
      </c>
      <c r="D28" s="118"/>
      <c r="E28" s="103" t="s">
        <v>1501</v>
      </c>
      <c r="F28" s="21"/>
      <c r="J28" s="13"/>
    </row>
    <row r="29" spans="1:10" s="20" customFormat="1" ht="80.25" customHeight="1">
      <c r="A29" s="43" t="s">
        <v>285</v>
      </c>
      <c r="B29" s="11" t="s">
        <v>286</v>
      </c>
      <c r="C29" s="12">
        <v>4079</v>
      </c>
      <c r="D29" s="118"/>
      <c r="E29" s="103" t="s">
        <v>1501</v>
      </c>
      <c r="F29" s="21"/>
      <c r="J29" s="13"/>
    </row>
    <row r="30" spans="1:10" s="20" customFormat="1" ht="80.25" customHeight="1">
      <c r="A30" s="43" t="s">
        <v>283</v>
      </c>
      <c r="B30" s="11" t="s">
        <v>284</v>
      </c>
      <c r="C30" s="12">
        <v>4079</v>
      </c>
      <c r="D30" s="118"/>
      <c r="E30" s="103" t="s">
        <v>1501</v>
      </c>
      <c r="F30" s="21"/>
      <c r="J30" s="13"/>
    </row>
    <row r="31" spans="1:10" s="20" customFormat="1" ht="80.25" customHeight="1">
      <c r="A31" s="43" t="s">
        <v>287</v>
      </c>
      <c r="B31" s="11" t="s">
        <v>288</v>
      </c>
      <c r="C31" s="12">
        <v>2416</v>
      </c>
      <c r="D31" s="118"/>
      <c r="E31" s="103" t="s">
        <v>1501</v>
      </c>
      <c r="F31" s="21"/>
      <c r="J31" s="13"/>
    </row>
    <row r="32" spans="1:10" s="20" customFormat="1" ht="80.25" customHeight="1">
      <c r="A32" s="43" t="s">
        <v>289</v>
      </c>
      <c r="B32" s="11" t="s">
        <v>290</v>
      </c>
      <c r="C32" s="12">
        <v>907</v>
      </c>
      <c r="D32" s="118"/>
      <c r="E32" s="103" t="s">
        <v>1501</v>
      </c>
      <c r="F32" s="21"/>
      <c r="J32" s="13"/>
    </row>
    <row r="33" spans="1:10" ht="80.25" customHeight="1">
      <c r="A33" s="43" t="s">
        <v>291</v>
      </c>
      <c r="B33" s="11" t="s">
        <v>292</v>
      </c>
      <c r="C33" s="12">
        <v>1566</v>
      </c>
      <c r="D33" s="118"/>
      <c r="E33" s="103" t="s">
        <v>1501</v>
      </c>
      <c r="F33" s="14"/>
      <c r="G33" s="1"/>
      <c r="J33" s="13"/>
    </row>
    <row r="34" spans="1:10" ht="80.25" customHeight="1">
      <c r="A34" s="43" t="s">
        <v>299</v>
      </c>
      <c r="B34" s="11" t="s">
        <v>300</v>
      </c>
      <c r="C34" s="12">
        <v>5696</v>
      </c>
      <c r="D34" s="118"/>
      <c r="E34" s="103" t="s">
        <v>1501</v>
      </c>
      <c r="F34" s="14"/>
      <c r="G34" s="1"/>
      <c r="J34" s="13"/>
    </row>
    <row r="35" spans="1:10" ht="80.25" customHeight="1">
      <c r="A35" s="43" t="s">
        <v>307</v>
      </c>
      <c r="B35" s="11" t="s">
        <v>308</v>
      </c>
      <c r="C35" s="12">
        <v>6381</v>
      </c>
      <c r="D35" s="118"/>
      <c r="E35" s="103" t="s">
        <v>1501</v>
      </c>
      <c r="F35" s="14"/>
      <c r="G35" s="1"/>
      <c r="J35" s="13"/>
    </row>
    <row r="36" spans="1:10" ht="80.25" customHeight="1">
      <c r="A36" s="43" t="s">
        <v>303</v>
      </c>
      <c r="B36" s="11" t="s">
        <v>304</v>
      </c>
      <c r="C36" s="12">
        <v>6381</v>
      </c>
      <c r="D36" s="118"/>
      <c r="E36" s="103" t="s">
        <v>1501</v>
      </c>
      <c r="F36" s="14"/>
      <c r="G36" s="1"/>
      <c r="J36" s="13"/>
    </row>
    <row r="37" spans="1:10" ht="80.25" customHeight="1">
      <c r="A37" s="43" t="s">
        <v>305</v>
      </c>
      <c r="B37" s="11" t="s">
        <v>306</v>
      </c>
      <c r="C37" s="12">
        <v>6057</v>
      </c>
      <c r="D37" s="118"/>
      <c r="E37" s="103" t="s">
        <v>1501</v>
      </c>
      <c r="F37" s="14"/>
      <c r="G37" s="1"/>
      <c r="J37" s="13"/>
    </row>
    <row r="38" spans="1:10" ht="80.25" customHeight="1">
      <c r="A38" s="43" t="s">
        <v>301</v>
      </c>
      <c r="B38" s="11" t="s">
        <v>302</v>
      </c>
      <c r="C38" s="12">
        <v>6057</v>
      </c>
      <c r="D38" s="118"/>
      <c r="E38" s="103" t="s">
        <v>1501</v>
      </c>
      <c r="F38" s="14"/>
      <c r="G38" s="1"/>
      <c r="J38" s="13"/>
    </row>
    <row r="39" spans="1:10" ht="80.25" customHeight="1">
      <c r="A39" s="43" t="s">
        <v>295</v>
      </c>
      <c r="B39" s="11" t="s">
        <v>296</v>
      </c>
      <c r="C39" s="12">
        <v>5696</v>
      </c>
      <c r="D39" s="118"/>
      <c r="E39" s="103" t="s">
        <v>1501</v>
      </c>
      <c r="F39" s="14"/>
      <c r="G39" s="1"/>
      <c r="J39" s="13"/>
    </row>
    <row r="40" spans="1:10" ht="80.25" customHeight="1">
      <c r="A40" s="43" t="s">
        <v>297</v>
      </c>
      <c r="B40" s="11" t="s">
        <v>298</v>
      </c>
      <c r="C40" s="12">
        <v>5362</v>
      </c>
      <c r="D40" s="118"/>
      <c r="E40" s="103" t="s">
        <v>1501</v>
      </c>
      <c r="F40" s="14"/>
      <c r="G40" s="1"/>
      <c r="J40" s="13"/>
    </row>
    <row r="41" spans="1:10" ht="80.25" customHeight="1">
      <c r="A41" s="43" t="s">
        <v>293</v>
      </c>
      <c r="B41" s="11" t="s">
        <v>294</v>
      </c>
      <c r="C41" s="12">
        <v>5362</v>
      </c>
      <c r="D41" s="118"/>
      <c r="E41" s="103" t="s">
        <v>1501</v>
      </c>
      <c r="F41" s="14"/>
      <c r="G41" s="1"/>
      <c r="J41" s="13"/>
    </row>
    <row r="42" spans="1:10" ht="80.25" customHeight="1">
      <c r="A42" s="43" t="s">
        <v>309</v>
      </c>
      <c r="B42" s="11" t="s">
        <v>310</v>
      </c>
      <c r="C42" s="12">
        <v>12407</v>
      </c>
      <c r="D42" s="118"/>
      <c r="E42" s="103" t="s">
        <v>1501</v>
      </c>
      <c r="F42" s="14"/>
      <c r="G42" s="1"/>
      <c r="J42" s="13"/>
    </row>
    <row r="43" spans="1:10" ht="80.25" customHeight="1">
      <c r="A43" s="43" t="s">
        <v>311</v>
      </c>
      <c r="B43" s="11" t="s">
        <v>312</v>
      </c>
      <c r="C43" s="12">
        <v>6433</v>
      </c>
      <c r="D43" s="118"/>
      <c r="E43" s="103" t="s">
        <v>1501</v>
      </c>
      <c r="F43" s="14"/>
      <c r="G43" s="1"/>
      <c r="J43" s="13"/>
    </row>
    <row r="44" spans="1:10" ht="80.25" customHeight="1">
      <c r="A44" s="43" t="s">
        <v>313</v>
      </c>
      <c r="B44" s="11" t="s">
        <v>314</v>
      </c>
      <c r="C44" s="12">
        <v>3755</v>
      </c>
      <c r="D44" s="118"/>
      <c r="E44" s="103" t="s">
        <v>1501</v>
      </c>
      <c r="F44" s="14"/>
      <c r="G44" s="1"/>
      <c r="J44" s="13"/>
    </row>
    <row r="45" spans="1:10" ht="80.25" customHeight="1">
      <c r="A45" s="43" t="s">
        <v>315</v>
      </c>
      <c r="B45" s="11" t="s">
        <v>316</v>
      </c>
      <c r="C45" s="12">
        <v>8168</v>
      </c>
      <c r="D45" s="118"/>
      <c r="E45" s="103" t="s">
        <v>1501</v>
      </c>
      <c r="F45" s="14"/>
      <c r="G45" s="1"/>
      <c r="J45" s="13"/>
    </row>
    <row r="46" spans="1:10" ht="80.25" customHeight="1">
      <c r="A46" s="43" t="s">
        <v>317</v>
      </c>
      <c r="B46" s="11" t="s">
        <v>318</v>
      </c>
      <c r="C46" s="12">
        <v>5192</v>
      </c>
      <c r="D46" s="118"/>
      <c r="E46" s="103" t="s">
        <v>1501</v>
      </c>
      <c r="F46" s="14"/>
      <c r="G46" s="1"/>
      <c r="J46" s="13"/>
    </row>
    <row r="47" spans="1:10" ht="80.25" customHeight="1">
      <c r="A47" s="43" t="s">
        <v>319</v>
      </c>
      <c r="B47" s="11" t="s">
        <v>320</v>
      </c>
      <c r="C47" s="12">
        <v>9054</v>
      </c>
      <c r="D47" s="118"/>
      <c r="E47" s="103" t="s">
        <v>1501</v>
      </c>
      <c r="F47" s="14"/>
      <c r="G47" s="1"/>
      <c r="J47" s="13"/>
    </row>
    <row r="48" spans="1:10" ht="80.25" customHeight="1">
      <c r="A48" s="43" t="s">
        <v>321</v>
      </c>
      <c r="B48" s="11" t="s">
        <v>322</v>
      </c>
      <c r="C48" s="12">
        <v>18025</v>
      </c>
      <c r="D48" s="118"/>
      <c r="E48" s="103" t="s">
        <v>1501</v>
      </c>
      <c r="F48" s="14"/>
      <c r="G48" s="1"/>
      <c r="J48" s="13"/>
    </row>
    <row r="49" spans="1:10" ht="80.25" customHeight="1">
      <c r="A49" s="43" t="s">
        <v>323</v>
      </c>
      <c r="B49" s="11" t="s">
        <v>324</v>
      </c>
      <c r="C49" s="12">
        <v>13493</v>
      </c>
      <c r="D49" s="118"/>
      <c r="E49" s="103" t="s">
        <v>1501</v>
      </c>
      <c r="F49" s="14"/>
      <c r="G49" s="1"/>
      <c r="J49" s="13"/>
    </row>
    <row r="50" spans="1:10" ht="80.25" customHeight="1">
      <c r="A50" s="43" t="s">
        <v>325</v>
      </c>
      <c r="B50" s="11" t="s">
        <v>326</v>
      </c>
      <c r="C50" s="12">
        <v>13493</v>
      </c>
      <c r="D50" s="118"/>
      <c r="E50" s="103" t="s">
        <v>1501</v>
      </c>
      <c r="F50" s="14"/>
      <c r="G50" s="1"/>
      <c r="J50" s="13"/>
    </row>
    <row r="51" spans="1:10" ht="80.25" customHeight="1">
      <c r="A51" s="43" t="s">
        <v>327</v>
      </c>
      <c r="B51" s="11" t="s">
        <v>328</v>
      </c>
      <c r="C51" s="12">
        <v>3312</v>
      </c>
      <c r="D51" s="118"/>
      <c r="E51" s="103" t="s">
        <v>1501</v>
      </c>
      <c r="F51" s="14"/>
      <c r="G51" s="1"/>
      <c r="J51" s="13"/>
    </row>
    <row r="52" spans="1:10" ht="80.25" customHeight="1">
      <c r="A52" s="43" t="s">
        <v>329</v>
      </c>
      <c r="B52" s="11" t="s">
        <v>330</v>
      </c>
      <c r="C52" s="12">
        <v>1679</v>
      </c>
      <c r="D52" s="118"/>
      <c r="E52" s="103" t="s">
        <v>1501</v>
      </c>
      <c r="F52" s="14"/>
      <c r="G52" s="1"/>
      <c r="J52" s="13"/>
    </row>
    <row r="53" spans="1:10" ht="80.25" customHeight="1">
      <c r="A53" s="48" t="s">
        <v>383</v>
      </c>
      <c r="B53" s="11" t="s">
        <v>384</v>
      </c>
      <c r="C53" s="12">
        <v>2184</v>
      </c>
      <c r="D53" s="123"/>
      <c r="E53" s="103" t="s">
        <v>1501</v>
      </c>
      <c r="F53" s="14"/>
      <c r="G53" s="1"/>
      <c r="J53" s="13"/>
    </row>
    <row r="54" spans="1:10" ht="80.25" customHeight="1">
      <c r="A54" s="48" t="s">
        <v>381</v>
      </c>
      <c r="B54" s="11" t="s">
        <v>382</v>
      </c>
      <c r="C54" s="12">
        <v>2184</v>
      </c>
      <c r="D54" s="123"/>
      <c r="E54" s="103" t="s">
        <v>1501</v>
      </c>
      <c r="F54" s="14"/>
      <c r="G54" s="1"/>
      <c r="J54" s="13"/>
    </row>
    <row r="55" spans="1:10" ht="80.25" customHeight="1">
      <c r="A55" s="48" t="s">
        <v>385</v>
      </c>
      <c r="B55" s="11" t="s">
        <v>386</v>
      </c>
      <c r="C55" s="12">
        <v>1334</v>
      </c>
      <c r="D55" s="118"/>
      <c r="E55" s="103" t="s">
        <v>1501</v>
      </c>
      <c r="F55" s="14"/>
      <c r="G55" s="1"/>
      <c r="J55" s="13"/>
    </row>
    <row r="56" spans="1:10" ht="80.25" customHeight="1">
      <c r="A56" s="48" t="s">
        <v>387</v>
      </c>
      <c r="B56" s="11" t="s">
        <v>388</v>
      </c>
      <c r="C56" s="12">
        <v>644</v>
      </c>
      <c r="D56" s="118"/>
      <c r="E56" s="103" t="s">
        <v>1501</v>
      </c>
      <c r="F56" s="14"/>
      <c r="G56" s="1"/>
      <c r="J56" s="13"/>
    </row>
    <row r="57" spans="1:10" ht="80.25" customHeight="1">
      <c r="A57" s="48" t="s">
        <v>389</v>
      </c>
      <c r="B57" s="11" t="s">
        <v>390</v>
      </c>
      <c r="C57" s="12">
        <v>876</v>
      </c>
      <c r="D57" s="118"/>
      <c r="E57" s="103" t="s">
        <v>1501</v>
      </c>
      <c r="F57" s="14"/>
      <c r="G57" s="1"/>
      <c r="J57" s="13"/>
    </row>
    <row r="58" spans="1:10" ht="80.25" customHeight="1">
      <c r="A58" s="48" t="s">
        <v>393</v>
      </c>
      <c r="B58" s="11" t="s">
        <v>394</v>
      </c>
      <c r="C58" s="12">
        <v>2586</v>
      </c>
      <c r="D58" s="118"/>
      <c r="E58" s="103" t="s">
        <v>1501</v>
      </c>
      <c r="F58" s="14"/>
      <c r="G58" s="1"/>
      <c r="J58" s="13"/>
    </row>
    <row r="59" spans="1:10" ht="80.25" customHeight="1">
      <c r="A59" s="48" t="s">
        <v>391</v>
      </c>
      <c r="B59" s="11" t="s">
        <v>392</v>
      </c>
      <c r="C59" s="12">
        <v>2586</v>
      </c>
      <c r="D59" s="118"/>
      <c r="E59" s="103" t="s">
        <v>1501</v>
      </c>
      <c r="F59" s="14"/>
      <c r="G59" s="1"/>
      <c r="J59" s="13"/>
    </row>
    <row r="60" spans="1:10" ht="80.25" customHeight="1">
      <c r="A60" s="48" t="s">
        <v>10</v>
      </c>
      <c r="B60" s="11" t="s">
        <v>395</v>
      </c>
      <c r="C60" s="12">
        <v>4393</v>
      </c>
      <c r="D60" s="118"/>
      <c r="E60" s="103" t="s">
        <v>1501</v>
      </c>
      <c r="F60" s="14"/>
      <c r="G60" s="1"/>
      <c r="J60" s="13"/>
    </row>
    <row r="61" spans="1:10" ht="80.25" customHeight="1">
      <c r="A61" s="48" t="s">
        <v>396</v>
      </c>
      <c r="B61" s="11" t="s">
        <v>397</v>
      </c>
      <c r="C61" s="12">
        <v>3569</v>
      </c>
      <c r="D61" s="118"/>
      <c r="E61" s="103" t="s">
        <v>1501</v>
      </c>
      <c r="F61" s="14"/>
      <c r="G61" s="1"/>
      <c r="J61" s="13"/>
    </row>
    <row r="62" spans="1:10" ht="80.25" customHeight="1">
      <c r="A62" s="48" t="s">
        <v>398</v>
      </c>
      <c r="B62" s="11" t="s">
        <v>399</v>
      </c>
      <c r="C62" s="12">
        <v>876</v>
      </c>
      <c r="D62" s="118"/>
      <c r="E62" s="103" t="s">
        <v>1501</v>
      </c>
      <c r="F62" s="14"/>
      <c r="G62" s="1"/>
      <c r="J62" s="13"/>
    </row>
    <row r="63" spans="1:10" ht="80.25" customHeight="1">
      <c r="A63" s="48" t="s">
        <v>400</v>
      </c>
      <c r="B63" s="11" t="s">
        <v>401</v>
      </c>
      <c r="C63" s="12">
        <v>876</v>
      </c>
      <c r="D63" s="118"/>
      <c r="E63" s="103" t="s">
        <v>1501</v>
      </c>
      <c r="F63" s="14"/>
      <c r="G63" s="1"/>
      <c r="J63" s="13"/>
    </row>
    <row r="64" spans="1:10" ht="80.25" customHeight="1">
      <c r="A64" s="47" t="s">
        <v>373</v>
      </c>
      <c r="B64" s="11" t="s">
        <v>374</v>
      </c>
      <c r="C64" s="12">
        <v>1061</v>
      </c>
      <c r="D64" s="118"/>
      <c r="E64" s="103" t="s">
        <v>1501</v>
      </c>
      <c r="F64" s="14"/>
      <c r="G64" s="1"/>
      <c r="J64" s="13"/>
    </row>
    <row r="65" spans="1:10" ht="80.25" customHeight="1">
      <c r="A65" s="47" t="s">
        <v>375</v>
      </c>
      <c r="B65" s="11" t="s">
        <v>376</v>
      </c>
      <c r="C65" s="12">
        <v>1288</v>
      </c>
      <c r="D65" s="118"/>
      <c r="E65" s="103" t="s">
        <v>1501</v>
      </c>
      <c r="F65" s="14"/>
      <c r="G65" s="1"/>
      <c r="J65" s="13"/>
    </row>
    <row r="66" spans="1:10" ht="80.25" customHeight="1">
      <c r="A66" s="47" t="s">
        <v>377</v>
      </c>
      <c r="B66" s="11" t="s">
        <v>378</v>
      </c>
      <c r="C66" s="12">
        <v>6726</v>
      </c>
      <c r="D66" s="135"/>
      <c r="E66" s="103" t="s">
        <v>1501</v>
      </c>
      <c r="F66" s="14"/>
      <c r="G66" s="1"/>
      <c r="J66" s="13"/>
    </row>
    <row r="67" spans="1:10" ht="80.25" customHeight="1">
      <c r="A67" s="47" t="s">
        <v>379</v>
      </c>
      <c r="B67" s="11" t="s">
        <v>380</v>
      </c>
      <c r="C67" s="12">
        <v>1334</v>
      </c>
      <c r="D67" s="118"/>
      <c r="E67" s="103" t="s">
        <v>1501</v>
      </c>
      <c r="F67" s="14"/>
      <c r="G67" s="1"/>
      <c r="J67" s="13"/>
    </row>
    <row r="68" spans="1:10" ht="80.25" customHeight="1">
      <c r="A68" s="48" t="s">
        <v>402</v>
      </c>
      <c r="B68" s="11" t="s">
        <v>403</v>
      </c>
      <c r="C68" s="12">
        <v>2081</v>
      </c>
      <c r="D68" s="118"/>
      <c r="E68" s="103" t="s">
        <v>1501</v>
      </c>
      <c r="F68" s="14"/>
      <c r="G68" s="1"/>
      <c r="J68" s="13"/>
    </row>
    <row r="69" spans="1:10" ht="80.25" customHeight="1">
      <c r="A69" s="48" t="s">
        <v>404</v>
      </c>
      <c r="B69" s="11" t="s">
        <v>405</v>
      </c>
      <c r="C69" s="12">
        <v>2442</v>
      </c>
      <c r="D69" s="118"/>
      <c r="E69" s="103" t="s">
        <v>1501</v>
      </c>
      <c r="F69" s="14"/>
      <c r="G69" s="1"/>
      <c r="J69" s="13"/>
    </row>
    <row r="70" spans="1:10" ht="80.25" customHeight="1">
      <c r="A70" s="11" t="s">
        <v>1395</v>
      </c>
      <c r="B70" s="11" t="s">
        <v>1396</v>
      </c>
      <c r="C70" s="67">
        <v>2663</v>
      </c>
      <c r="D70" s="118"/>
      <c r="E70" s="103" t="s">
        <v>1501</v>
      </c>
      <c r="F70" s="14"/>
      <c r="G70" s="1"/>
      <c r="J70" s="13"/>
    </row>
    <row r="71" spans="1:10" ht="80.25" customHeight="1">
      <c r="A71" s="11" t="s">
        <v>1397</v>
      </c>
      <c r="B71" s="11" t="s">
        <v>1398</v>
      </c>
      <c r="C71" s="67">
        <v>1051</v>
      </c>
      <c r="D71" s="118"/>
      <c r="E71" s="103" t="s">
        <v>1501</v>
      </c>
      <c r="F71" s="14"/>
      <c r="G71" s="1"/>
      <c r="J71" s="13"/>
    </row>
    <row r="72" spans="1:10" ht="80.25" customHeight="1">
      <c r="A72" s="11" t="s">
        <v>1399</v>
      </c>
      <c r="B72" s="11" t="s">
        <v>1400</v>
      </c>
      <c r="C72" s="67">
        <v>1072</v>
      </c>
      <c r="D72" s="118"/>
      <c r="E72" s="103" t="s">
        <v>1501</v>
      </c>
      <c r="F72" s="14"/>
      <c r="G72" s="1"/>
      <c r="J72" s="13"/>
    </row>
    <row r="73" spans="1:10" ht="80.25" customHeight="1">
      <c r="A73" s="11" t="s">
        <v>1401</v>
      </c>
      <c r="B73" s="11" t="s">
        <v>1402</v>
      </c>
      <c r="C73" s="67">
        <v>1103</v>
      </c>
      <c r="D73" s="118"/>
      <c r="E73" s="103" t="s">
        <v>1501</v>
      </c>
      <c r="F73" s="14"/>
      <c r="G73" s="1"/>
      <c r="J73" s="13"/>
    </row>
    <row r="74" spans="1:10" ht="80.25" customHeight="1">
      <c r="A74" s="11" t="s">
        <v>1403</v>
      </c>
      <c r="B74" s="11" t="s">
        <v>1404</v>
      </c>
      <c r="C74" s="67">
        <v>1267</v>
      </c>
      <c r="D74" s="118"/>
      <c r="E74" s="103" t="s">
        <v>1501</v>
      </c>
      <c r="F74" s="14"/>
      <c r="G74" s="1"/>
      <c r="J74" s="13"/>
    </row>
    <row r="75" spans="1:10" ht="80.25" customHeight="1">
      <c r="A75" s="11" t="s">
        <v>1405</v>
      </c>
      <c r="B75" s="11" t="s">
        <v>1406</v>
      </c>
      <c r="C75" s="67">
        <v>1288</v>
      </c>
      <c r="D75" s="118"/>
      <c r="E75" s="103" t="s">
        <v>1501</v>
      </c>
      <c r="F75" s="14"/>
      <c r="G75" s="1"/>
      <c r="J75" s="13"/>
    </row>
    <row r="76" spans="1:10" ht="80.25" customHeight="1">
      <c r="A76" s="11" t="s">
        <v>1407</v>
      </c>
      <c r="B76" s="11" t="s">
        <v>1408</v>
      </c>
      <c r="C76" s="67">
        <v>1314</v>
      </c>
      <c r="D76" s="118"/>
      <c r="E76" s="103" t="s">
        <v>1501</v>
      </c>
      <c r="F76" s="14"/>
      <c r="G76" s="1"/>
      <c r="J76" s="13"/>
    </row>
    <row r="77" spans="1:10" ht="80.25" customHeight="1">
      <c r="A77" s="11" t="s">
        <v>1409</v>
      </c>
      <c r="B77" s="11" t="s">
        <v>1410</v>
      </c>
      <c r="C77" s="67">
        <v>1267</v>
      </c>
      <c r="D77" s="118"/>
      <c r="E77" s="103" t="s">
        <v>1501</v>
      </c>
      <c r="F77" s="14"/>
      <c r="G77" s="1"/>
      <c r="J77" s="13"/>
    </row>
    <row r="78" spans="1:10" ht="80.25" customHeight="1">
      <c r="A78" s="11" t="s">
        <v>1411</v>
      </c>
      <c r="B78" s="11" t="s">
        <v>1412</v>
      </c>
      <c r="C78" s="67">
        <v>1278</v>
      </c>
      <c r="D78" s="118"/>
      <c r="E78" s="103" t="s">
        <v>1501</v>
      </c>
      <c r="F78" s="14"/>
      <c r="G78" s="1"/>
      <c r="J78" s="13"/>
    </row>
    <row r="79" spans="1:10" ht="80.25" customHeight="1">
      <c r="A79" s="11" t="s">
        <v>1413</v>
      </c>
      <c r="B79" s="11" t="s">
        <v>1414</v>
      </c>
      <c r="C79" s="67">
        <v>1288</v>
      </c>
      <c r="D79" s="118"/>
      <c r="E79" s="103" t="s">
        <v>1501</v>
      </c>
      <c r="F79" s="14"/>
      <c r="G79" s="1"/>
      <c r="J79" s="13"/>
    </row>
    <row r="80" spans="1:10" ht="80.25" customHeight="1">
      <c r="A80" s="11" t="s">
        <v>1415</v>
      </c>
      <c r="B80" s="11" t="s">
        <v>1416</v>
      </c>
      <c r="C80" s="67">
        <v>1303</v>
      </c>
      <c r="D80" s="118"/>
      <c r="E80" s="103" t="s">
        <v>1501</v>
      </c>
      <c r="F80" s="14"/>
      <c r="G80" s="1"/>
      <c r="J80" s="13"/>
    </row>
    <row r="81" spans="1:10" ht="80.25" customHeight="1">
      <c r="A81" s="11" t="s">
        <v>1417</v>
      </c>
      <c r="B81" s="11" t="s">
        <v>1418</v>
      </c>
      <c r="C81" s="67">
        <v>4435</v>
      </c>
      <c r="D81" s="118"/>
      <c r="E81" s="103" t="s">
        <v>1501</v>
      </c>
      <c r="F81" s="14"/>
      <c r="G81" s="1"/>
      <c r="J81" s="13"/>
    </row>
    <row r="82" spans="1:10" ht="80.25" customHeight="1">
      <c r="A82" s="11" t="s">
        <v>1419</v>
      </c>
      <c r="B82" s="11" t="s">
        <v>1420</v>
      </c>
      <c r="C82" s="67">
        <v>721</v>
      </c>
      <c r="D82" s="118"/>
      <c r="E82" s="103" t="s">
        <v>1501</v>
      </c>
      <c r="F82" s="14"/>
      <c r="G82" s="1"/>
      <c r="J82" s="13"/>
    </row>
    <row r="83" spans="1:10" ht="80.25" customHeight="1">
      <c r="A83" s="11" t="s">
        <v>1421</v>
      </c>
      <c r="B83" s="11" t="s">
        <v>1422</v>
      </c>
      <c r="C83" s="67">
        <v>742</v>
      </c>
      <c r="D83" s="118"/>
      <c r="E83" s="103" t="s">
        <v>1501</v>
      </c>
      <c r="F83" s="14"/>
      <c r="G83" s="1"/>
      <c r="J83" s="13"/>
    </row>
    <row r="84" spans="1:10" ht="80.25" customHeight="1">
      <c r="A84" s="11" t="s">
        <v>1423</v>
      </c>
      <c r="B84" s="11" t="s">
        <v>1424</v>
      </c>
      <c r="C84" s="67">
        <v>732</v>
      </c>
      <c r="D84" s="118"/>
      <c r="E84" s="103" t="s">
        <v>1501</v>
      </c>
      <c r="F84" s="14"/>
      <c r="G84" s="1"/>
      <c r="J84" s="13"/>
    </row>
    <row r="85" spans="1:10" ht="80.25" customHeight="1">
      <c r="A85" s="11" t="s">
        <v>1425</v>
      </c>
      <c r="B85" s="11" t="s">
        <v>1426</v>
      </c>
      <c r="C85" s="67">
        <v>752</v>
      </c>
      <c r="D85" s="118"/>
      <c r="E85" s="103" t="s">
        <v>1501</v>
      </c>
      <c r="F85" s="14"/>
      <c r="G85" s="1"/>
      <c r="J85" s="13"/>
    </row>
    <row r="86" spans="1:10" ht="80.25" customHeight="1">
      <c r="A86" s="11" t="s">
        <v>1427</v>
      </c>
      <c r="B86" s="11" t="s">
        <v>1428</v>
      </c>
      <c r="C86" s="67">
        <v>763</v>
      </c>
      <c r="D86" s="118"/>
      <c r="E86" s="103" t="s">
        <v>1501</v>
      </c>
      <c r="F86" s="14"/>
      <c r="G86" s="1"/>
      <c r="J86" s="13"/>
    </row>
    <row r="87" spans="1:10" ht="80.25" customHeight="1">
      <c r="A87" s="11" t="s">
        <v>1429</v>
      </c>
      <c r="B87" s="11" t="s">
        <v>1430</v>
      </c>
      <c r="C87" s="67">
        <v>742</v>
      </c>
      <c r="D87" s="118"/>
      <c r="E87" s="103" t="s">
        <v>1501</v>
      </c>
      <c r="F87" s="14"/>
      <c r="G87" s="1"/>
      <c r="J87" s="13"/>
    </row>
    <row r="88" spans="1:10" ht="80.25" customHeight="1">
      <c r="A88" s="11" t="s">
        <v>1431</v>
      </c>
      <c r="B88" s="11" t="s">
        <v>1432</v>
      </c>
      <c r="C88" s="67">
        <v>773</v>
      </c>
      <c r="D88" s="118"/>
      <c r="E88" s="103" t="s">
        <v>1501</v>
      </c>
      <c r="F88" s="14"/>
      <c r="G88" s="1"/>
      <c r="J88" s="13"/>
    </row>
    <row r="89" spans="1:10" ht="80.25" customHeight="1">
      <c r="A89" s="11" t="s">
        <v>1433</v>
      </c>
      <c r="B89" s="11" t="s">
        <v>1434</v>
      </c>
      <c r="C89" s="67">
        <v>490</v>
      </c>
      <c r="D89" s="118"/>
      <c r="E89" s="103" t="s">
        <v>1501</v>
      </c>
      <c r="F89" s="14"/>
      <c r="G89" s="1"/>
      <c r="J89" s="13"/>
    </row>
    <row r="90" spans="1:10" ht="80.25" customHeight="1">
      <c r="A90" s="11" t="s">
        <v>1435</v>
      </c>
      <c r="B90" s="11" t="s">
        <v>1436</v>
      </c>
      <c r="C90" s="67">
        <v>500</v>
      </c>
      <c r="D90" s="118"/>
      <c r="E90" s="103" t="s">
        <v>1501</v>
      </c>
      <c r="F90" s="14"/>
      <c r="G90" s="1"/>
      <c r="J90" s="13"/>
    </row>
    <row r="91" spans="1:10" ht="80.25" customHeight="1">
      <c r="A91" s="11" t="s">
        <v>1437</v>
      </c>
      <c r="B91" s="11" t="s">
        <v>1438</v>
      </c>
      <c r="C91" s="67">
        <v>500</v>
      </c>
      <c r="D91" s="118"/>
      <c r="E91" s="103" t="s">
        <v>1501</v>
      </c>
      <c r="F91" s="14"/>
      <c r="G91" s="1"/>
      <c r="J91" s="13"/>
    </row>
    <row r="92" spans="1:10" ht="80.25" customHeight="1">
      <c r="A92" s="11" t="s">
        <v>1439</v>
      </c>
      <c r="B92" s="11" t="s">
        <v>1440</v>
      </c>
      <c r="C92" s="67">
        <v>521</v>
      </c>
      <c r="D92" s="118"/>
      <c r="E92" s="103" t="s">
        <v>1501</v>
      </c>
      <c r="F92" s="14"/>
      <c r="G92" s="1"/>
      <c r="J92" s="13"/>
    </row>
    <row r="93" spans="1:10" ht="80.25" customHeight="1">
      <c r="A93" s="11" t="s">
        <v>1441</v>
      </c>
      <c r="B93" s="11" t="s">
        <v>1442</v>
      </c>
      <c r="C93" s="67">
        <v>521</v>
      </c>
      <c r="D93" s="118"/>
      <c r="E93" s="103" t="s">
        <v>1501</v>
      </c>
      <c r="F93" s="14"/>
      <c r="G93" s="1"/>
      <c r="J93" s="13"/>
    </row>
    <row r="94" spans="1:10" ht="80.25" customHeight="1">
      <c r="A94" s="11" t="s">
        <v>1443</v>
      </c>
      <c r="B94" s="11" t="s">
        <v>1444</v>
      </c>
      <c r="C94" s="67">
        <v>531</v>
      </c>
      <c r="D94" s="118"/>
      <c r="E94" s="103" t="s">
        <v>1501</v>
      </c>
      <c r="F94" s="14"/>
      <c r="G94" s="1"/>
      <c r="J94" s="13"/>
    </row>
    <row r="95" spans="1:10" ht="80.25" customHeight="1">
      <c r="A95" s="11" t="s">
        <v>1445</v>
      </c>
      <c r="B95" s="11" t="s">
        <v>1446</v>
      </c>
      <c r="C95" s="67">
        <v>531</v>
      </c>
      <c r="D95" s="118"/>
      <c r="E95" s="103" t="s">
        <v>1501</v>
      </c>
      <c r="F95" s="14"/>
      <c r="G95" s="1"/>
      <c r="J95" s="13"/>
    </row>
    <row r="96" spans="1:10" ht="80.25" customHeight="1">
      <c r="A96" s="11" t="s">
        <v>1447</v>
      </c>
      <c r="B96" s="11" t="s">
        <v>1448</v>
      </c>
      <c r="C96" s="67">
        <v>541</v>
      </c>
      <c r="D96" s="118"/>
      <c r="E96" s="103" t="s">
        <v>1501</v>
      </c>
      <c r="F96" s="14"/>
      <c r="G96" s="1"/>
      <c r="J96" s="13"/>
    </row>
    <row r="97" spans="1:10" ht="80.25" customHeight="1">
      <c r="A97" s="15" t="s">
        <v>1449</v>
      </c>
      <c r="B97" s="15" t="s">
        <v>1450</v>
      </c>
      <c r="C97" s="67">
        <v>541</v>
      </c>
      <c r="D97" s="118"/>
      <c r="E97" s="103" t="s">
        <v>1501</v>
      </c>
      <c r="F97" s="14"/>
      <c r="G97" s="1"/>
      <c r="J97" s="13"/>
    </row>
    <row r="98" spans="1:10" ht="80.25" customHeight="1">
      <c r="A98" s="15" t="s">
        <v>1451</v>
      </c>
      <c r="B98" s="11" t="s">
        <v>1452</v>
      </c>
      <c r="C98" s="67">
        <v>552</v>
      </c>
      <c r="D98" s="118"/>
      <c r="E98" s="103" t="s">
        <v>1501</v>
      </c>
      <c r="F98" s="14"/>
      <c r="G98" s="1"/>
      <c r="J98" s="13"/>
    </row>
    <row r="99" spans="1:10" ht="80.25" customHeight="1">
      <c r="A99" s="15" t="s">
        <v>1453</v>
      </c>
      <c r="B99" s="11" t="s">
        <v>1454</v>
      </c>
      <c r="C99" s="67">
        <v>696</v>
      </c>
      <c r="D99" s="118"/>
      <c r="E99" s="103" t="s">
        <v>1501</v>
      </c>
      <c r="F99" s="14"/>
      <c r="G99" s="1"/>
      <c r="J99" s="13"/>
    </row>
    <row r="100" spans="1:10" ht="80.25" customHeight="1">
      <c r="A100" s="15" t="s">
        <v>1455</v>
      </c>
      <c r="B100" s="11" t="s">
        <v>1456</v>
      </c>
      <c r="C100" s="67">
        <v>721</v>
      </c>
      <c r="D100" s="118"/>
      <c r="E100" s="103" t="s">
        <v>1501</v>
      </c>
      <c r="F100" s="14"/>
      <c r="G100" s="1"/>
      <c r="J100" s="13"/>
    </row>
    <row r="101" spans="1:10" ht="80.25" customHeight="1">
      <c r="A101" s="11" t="s">
        <v>1457</v>
      </c>
      <c r="B101" s="11" t="s">
        <v>1458</v>
      </c>
      <c r="C101" s="67">
        <v>721</v>
      </c>
      <c r="D101" s="118"/>
      <c r="E101" s="103" t="s">
        <v>1501</v>
      </c>
      <c r="F101" s="14"/>
      <c r="G101" s="1"/>
      <c r="J101" s="13"/>
    </row>
    <row r="102" spans="1:10" ht="80.25" customHeight="1">
      <c r="A102" s="15" t="s">
        <v>1459</v>
      </c>
      <c r="B102" s="11" t="s">
        <v>1460</v>
      </c>
      <c r="C102" s="67">
        <v>732</v>
      </c>
      <c r="D102" s="96"/>
      <c r="E102" s="103" t="s">
        <v>1501</v>
      </c>
      <c r="F102" s="14"/>
      <c r="G102" s="1"/>
      <c r="J102" s="13"/>
    </row>
    <row r="103" spans="1:10" ht="80.25" customHeight="1">
      <c r="A103" s="15" t="s">
        <v>1461</v>
      </c>
      <c r="B103" s="11" t="s">
        <v>1462</v>
      </c>
      <c r="C103" s="67">
        <v>721</v>
      </c>
      <c r="D103" s="96"/>
      <c r="E103" s="103" t="s">
        <v>1501</v>
      </c>
      <c r="F103" s="14"/>
      <c r="G103" s="1"/>
      <c r="J103" s="13"/>
    </row>
    <row r="104" spans="1:10" ht="80.25" customHeight="1">
      <c r="A104" s="15" t="s">
        <v>1463</v>
      </c>
      <c r="B104" s="11" t="s">
        <v>1464</v>
      </c>
      <c r="C104" s="67">
        <v>742</v>
      </c>
      <c r="D104" s="118"/>
      <c r="E104" s="103" t="s">
        <v>1501</v>
      </c>
      <c r="F104" s="14"/>
      <c r="G104" s="1"/>
      <c r="J104" s="13"/>
    </row>
    <row r="105" spans="1:10" ht="80.25" customHeight="1">
      <c r="A105" s="15" t="s">
        <v>1465</v>
      </c>
      <c r="B105" s="11" t="s">
        <v>1466</v>
      </c>
      <c r="C105" s="67">
        <v>732</v>
      </c>
      <c r="D105" s="118"/>
      <c r="E105" s="103" t="s">
        <v>1501</v>
      </c>
      <c r="F105" s="14"/>
      <c r="G105" s="1"/>
      <c r="J105" s="13"/>
    </row>
    <row r="106" spans="1:10" ht="80.25" customHeight="1">
      <c r="A106" s="15" t="s">
        <v>1467</v>
      </c>
      <c r="B106" s="11" t="s">
        <v>1468</v>
      </c>
      <c r="C106" s="67">
        <v>752</v>
      </c>
      <c r="D106" s="118"/>
      <c r="E106" s="103" t="s">
        <v>1501</v>
      </c>
      <c r="F106" s="14"/>
      <c r="G106" s="1"/>
      <c r="J106" s="13"/>
    </row>
    <row r="107" spans="1:10" ht="80.25" customHeight="1" thickBot="1">
      <c r="A107" s="32" t="s">
        <v>1469</v>
      </c>
      <c r="B107" s="32" t="s">
        <v>1470</v>
      </c>
      <c r="C107" s="84">
        <v>742</v>
      </c>
      <c r="D107" s="118"/>
      <c r="E107" s="103" t="s">
        <v>1501</v>
      </c>
      <c r="F107" s="14"/>
      <c r="G107" s="1"/>
      <c r="J107" s="13"/>
    </row>
    <row r="108" spans="1:10" ht="80.25" customHeight="1">
      <c r="A108" s="82" t="s">
        <v>1471</v>
      </c>
      <c r="B108" s="11" t="s">
        <v>1472</v>
      </c>
      <c r="C108" s="83">
        <v>763</v>
      </c>
      <c r="D108" s="118"/>
      <c r="E108" s="103" t="s">
        <v>1501</v>
      </c>
      <c r="F108" s="14"/>
      <c r="G108" s="1"/>
      <c r="J108" s="13"/>
    </row>
    <row r="109" spans="1:10" ht="80.25" customHeight="1">
      <c r="A109" s="11" t="s">
        <v>1473</v>
      </c>
      <c r="B109" s="11" t="s">
        <v>1474</v>
      </c>
      <c r="C109" s="67">
        <v>752</v>
      </c>
      <c r="D109" s="118"/>
      <c r="E109" s="103" t="s">
        <v>1501</v>
      </c>
      <c r="F109" s="14"/>
      <c r="G109" s="1"/>
      <c r="J109" s="13"/>
    </row>
    <row r="110" spans="1:10" ht="80.25" customHeight="1" thickBot="1">
      <c r="A110" s="34" t="s">
        <v>1475</v>
      </c>
      <c r="B110" s="34" t="s">
        <v>1476</v>
      </c>
      <c r="C110" s="84">
        <v>773</v>
      </c>
      <c r="D110" s="118"/>
      <c r="E110" s="103" t="s">
        <v>1501</v>
      </c>
      <c r="F110" s="14"/>
      <c r="G110" s="1"/>
      <c r="J110" s="13"/>
    </row>
    <row r="111" spans="1:10" ht="80.25" customHeight="1">
      <c r="A111" s="112" t="s">
        <v>1477</v>
      </c>
      <c r="B111" s="35" t="s">
        <v>1478</v>
      </c>
      <c r="C111" s="83">
        <v>881</v>
      </c>
      <c r="D111" s="118"/>
      <c r="E111" s="103" t="s">
        <v>1501</v>
      </c>
      <c r="F111" s="14"/>
      <c r="G111" s="1"/>
      <c r="J111" s="13"/>
    </row>
    <row r="112" spans="1:10" ht="80.25" customHeight="1" thickBot="1">
      <c r="A112" s="106" t="s">
        <v>1481</v>
      </c>
      <c r="B112" s="32" t="s">
        <v>1482</v>
      </c>
      <c r="C112" s="84">
        <v>1030</v>
      </c>
      <c r="D112" s="118"/>
      <c r="E112" s="103" t="s">
        <v>1501</v>
      </c>
      <c r="F112" s="14"/>
      <c r="G112" s="1"/>
      <c r="J112" s="13"/>
    </row>
    <row r="113" spans="1:10" ht="80.25" customHeight="1">
      <c r="A113" s="111" t="s">
        <v>18</v>
      </c>
      <c r="B113" s="35" t="s">
        <v>19</v>
      </c>
      <c r="C113" s="117">
        <v>10295</v>
      </c>
      <c r="D113" s="1"/>
      <c r="E113" s="38" t="s">
        <v>1496</v>
      </c>
      <c r="F113" s="14"/>
      <c r="G113" s="1"/>
      <c r="J113" s="13"/>
    </row>
    <row r="114" spans="1:10" ht="80.25" customHeight="1">
      <c r="A114" s="10" t="s">
        <v>22</v>
      </c>
      <c r="B114" s="11" t="s">
        <v>23</v>
      </c>
      <c r="C114" s="12">
        <v>6690</v>
      </c>
      <c r="D114" s="136"/>
      <c r="E114" s="140" t="s">
        <v>1496</v>
      </c>
      <c r="F114" s="14"/>
      <c r="G114" s="1"/>
      <c r="J114" s="13"/>
    </row>
    <row r="115" spans="1:10" ht="80.25" customHeight="1">
      <c r="A115" s="10" t="s">
        <v>16</v>
      </c>
      <c r="B115" s="11" t="s">
        <v>17</v>
      </c>
      <c r="C115" s="12">
        <v>10810</v>
      </c>
      <c r="D115" s="134"/>
      <c r="E115" s="139" t="s">
        <v>1496</v>
      </c>
      <c r="F115" s="14"/>
      <c r="G115" s="1"/>
      <c r="J115" s="13"/>
    </row>
    <row r="116" spans="1:10" ht="80.25" customHeight="1">
      <c r="A116" s="10" t="s">
        <v>20</v>
      </c>
      <c r="B116" s="11" t="s">
        <v>21</v>
      </c>
      <c r="C116" s="12">
        <v>6999</v>
      </c>
      <c r="D116" s="144"/>
      <c r="E116" s="146" t="s">
        <v>1496</v>
      </c>
      <c r="F116" s="14"/>
      <c r="G116" s="1"/>
      <c r="J116" s="13"/>
    </row>
    <row r="117" spans="1:10" ht="80.25" customHeight="1">
      <c r="A117" s="29" t="s">
        <v>1709</v>
      </c>
      <c r="B117" s="11" t="s">
        <v>184</v>
      </c>
      <c r="C117" s="12">
        <v>2163</v>
      </c>
      <c r="D117" s="123"/>
      <c r="E117" s="105" t="s">
        <v>1499</v>
      </c>
      <c r="F117" s="14"/>
      <c r="G117" s="1"/>
      <c r="J117" s="13"/>
    </row>
    <row r="118" spans="1:10" ht="80.25" customHeight="1" thickBot="1">
      <c r="A118" s="110" t="s">
        <v>1725</v>
      </c>
      <c r="B118" s="32" t="s">
        <v>185</v>
      </c>
      <c r="C118" s="115">
        <v>2663</v>
      </c>
      <c r="D118" s="105"/>
      <c r="E118" s="105" t="s">
        <v>1499</v>
      </c>
      <c r="F118" s="14"/>
      <c r="G118" s="1"/>
      <c r="J118" s="13"/>
    </row>
    <row r="119" spans="1:10" ht="80.25" customHeight="1">
      <c r="A119" s="108" t="s">
        <v>1718</v>
      </c>
      <c r="B119" s="35" t="s">
        <v>186</v>
      </c>
      <c r="C119" s="117">
        <v>3662</v>
      </c>
      <c r="D119" s="123"/>
      <c r="E119" s="105" t="s">
        <v>1499</v>
      </c>
      <c r="F119" s="14"/>
      <c r="G119" s="1"/>
      <c r="J119" s="13"/>
    </row>
    <row r="120" spans="1:10" ht="80.25" customHeight="1">
      <c r="A120" s="108" t="s">
        <v>1719</v>
      </c>
      <c r="B120" s="11" t="s">
        <v>187</v>
      </c>
      <c r="C120" s="12">
        <v>2699</v>
      </c>
      <c r="D120" s="123"/>
      <c r="E120" s="105" t="s">
        <v>1499</v>
      </c>
      <c r="F120" s="14"/>
      <c r="G120" s="1"/>
      <c r="J120" s="13"/>
    </row>
    <row r="121" spans="1:10" ht="80.25" customHeight="1">
      <c r="A121" s="29" t="s">
        <v>1720</v>
      </c>
      <c r="B121" s="11" t="s">
        <v>188</v>
      </c>
      <c r="C121" s="12">
        <v>2864</v>
      </c>
      <c r="D121" s="129"/>
      <c r="E121" s="105" t="s">
        <v>1499</v>
      </c>
      <c r="F121" s="14"/>
      <c r="G121" s="1"/>
      <c r="J121" s="13"/>
    </row>
    <row r="122" spans="1:10" ht="80.25" customHeight="1" thickBot="1">
      <c r="A122" s="109" t="s">
        <v>1721</v>
      </c>
      <c r="B122" s="32" t="s">
        <v>193</v>
      </c>
      <c r="C122" s="115">
        <v>1849</v>
      </c>
      <c r="D122" s="129"/>
      <c r="E122" s="105" t="s">
        <v>1499</v>
      </c>
      <c r="F122" s="14"/>
      <c r="G122" s="1"/>
      <c r="J122" s="13"/>
    </row>
    <row r="123" spans="1:10" ht="80.25" customHeight="1">
      <c r="A123" s="113" t="s">
        <v>1722</v>
      </c>
      <c r="B123" s="35" t="s">
        <v>194</v>
      </c>
      <c r="C123" s="117">
        <v>2364</v>
      </c>
      <c r="D123" s="123"/>
      <c r="E123" s="105" t="s">
        <v>1499</v>
      </c>
      <c r="F123" s="14"/>
      <c r="G123" s="1"/>
      <c r="J123" s="13"/>
    </row>
    <row r="124" spans="1:10" ht="80.25" customHeight="1">
      <c r="A124" s="31" t="s">
        <v>1723</v>
      </c>
      <c r="B124" s="11" t="s">
        <v>195</v>
      </c>
      <c r="C124" s="12">
        <v>3394</v>
      </c>
      <c r="D124" s="123"/>
      <c r="E124" s="105" t="s">
        <v>1499</v>
      </c>
      <c r="F124" s="14"/>
      <c r="G124" s="1"/>
      <c r="J124" s="13"/>
    </row>
    <row r="125" spans="1:10" ht="80.25" customHeight="1">
      <c r="A125" s="11" t="s">
        <v>1724</v>
      </c>
      <c r="B125" s="11" t="s">
        <v>429</v>
      </c>
      <c r="C125" s="12">
        <v>2483</v>
      </c>
      <c r="D125" s="123"/>
      <c r="E125" s="105" t="s">
        <v>1499</v>
      </c>
      <c r="F125" s="14"/>
      <c r="G125" s="1"/>
      <c r="J125" s="13"/>
    </row>
    <row r="126" spans="1:10" ht="80.25" customHeight="1">
      <c r="A126" s="31" t="s">
        <v>196</v>
      </c>
      <c r="B126" s="11" t="s">
        <v>197</v>
      </c>
      <c r="C126" s="12">
        <v>4136</v>
      </c>
      <c r="D126" s="123"/>
      <c r="E126" s="105" t="s">
        <v>1499</v>
      </c>
      <c r="F126" s="14"/>
      <c r="G126" s="1"/>
      <c r="J126" s="13"/>
    </row>
    <row r="127" spans="1:10" ht="80.25" customHeight="1">
      <c r="A127" s="31" t="s">
        <v>198</v>
      </c>
      <c r="B127" s="11" t="s">
        <v>199</v>
      </c>
      <c r="C127" s="12">
        <v>4136</v>
      </c>
      <c r="D127" s="123"/>
      <c r="E127" s="105" t="s">
        <v>1499</v>
      </c>
      <c r="F127" s="14"/>
      <c r="G127" s="1"/>
      <c r="J127" s="13"/>
    </row>
    <row r="128" spans="1:10" ht="80.25" customHeight="1">
      <c r="A128" s="31" t="s">
        <v>200</v>
      </c>
      <c r="B128" s="11" t="s">
        <v>201</v>
      </c>
      <c r="C128" s="12">
        <v>4342</v>
      </c>
      <c r="D128" s="123"/>
      <c r="E128" s="105" t="s">
        <v>1499</v>
      </c>
      <c r="F128" s="14"/>
      <c r="G128" s="1"/>
      <c r="J128" s="13"/>
    </row>
    <row r="129" spans="1:10" ht="80.25" customHeight="1">
      <c r="A129" s="31" t="s">
        <v>202</v>
      </c>
      <c r="B129" s="11" t="s">
        <v>203</v>
      </c>
      <c r="C129" s="12">
        <v>4981</v>
      </c>
      <c r="D129" s="123"/>
      <c r="E129" s="105" t="s">
        <v>1499</v>
      </c>
      <c r="F129" s="14"/>
      <c r="G129" s="1"/>
      <c r="J129" s="13"/>
    </row>
    <row r="130" spans="1:10" ht="80.25" customHeight="1">
      <c r="A130" s="31" t="s">
        <v>204</v>
      </c>
      <c r="B130" s="11" t="s">
        <v>205</v>
      </c>
      <c r="C130" s="12">
        <v>4120</v>
      </c>
      <c r="D130" s="129"/>
      <c r="E130" s="105" t="s">
        <v>1499</v>
      </c>
      <c r="F130" s="14"/>
      <c r="G130" s="1"/>
      <c r="J130" s="13"/>
    </row>
    <row r="131" spans="1:10" ht="80.25" customHeight="1">
      <c r="A131" s="31" t="s">
        <v>206</v>
      </c>
      <c r="B131" s="11" t="s">
        <v>207</v>
      </c>
      <c r="C131" s="12">
        <v>4635</v>
      </c>
      <c r="D131" s="129"/>
      <c r="E131" s="105" t="s">
        <v>1499</v>
      </c>
      <c r="F131" s="14"/>
      <c r="G131" s="1"/>
      <c r="J131" s="13"/>
    </row>
    <row r="132" spans="1:10" ht="80.25" customHeight="1">
      <c r="A132" s="29" t="s">
        <v>189</v>
      </c>
      <c r="B132" s="11" t="s">
        <v>190</v>
      </c>
      <c r="C132" s="12">
        <v>4203</v>
      </c>
      <c r="D132" s="118"/>
      <c r="E132" s="103" t="s">
        <v>1499</v>
      </c>
      <c r="F132" s="14"/>
      <c r="G132" s="1"/>
      <c r="J132" s="13"/>
    </row>
    <row r="133" spans="1:10" ht="80.25" customHeight="1">
      <c r="A133" s="31" t="s">
        <v>208</v>
      </c>
      <c r="B133" s="11" t="s">
        <v>209</v>
      </c>
      <c r="C133" s="12">
        <v>5547</v>
      </c>
      <c r="D133" s="118"/>
      <c r="E133" s="103" t="s">
        <v>1499</v>
      </c>
      <c r="F133" s="14"/>
      <c r="G133" s="1"/>
      <c r="J133" s="13"/>
    </row>
    <row r="134" spans="1:10" ht="80.25" customHeight="1">
      <c r="A134" s="29" t="s">
        <v>191</v>
      </c>
      <c r="B134" s="15" t="s">
        <v>192</v>
      </c>
      <c r="C134" s="12">
        <v>2447</v>
      </c>
      <c r="D134" s="103"/>
      <c r="E134" s="103" t="s">
        <v>1499</v>
      </c>
      <c r="F134" s="14"/>
      <c r="G134" s="1"/>
      <c r="J134" s="13"/>
    </row>
    <row r="135" spans="1:10" ht="80.25" customHeight="1">
      <c r="A135" s="31" t="s">
        <v>210</v>
      </c>
      <c r="B135" s="11" t="s">
        <v>211</v>
      </c>
      <c r="C135" s="12">
        <v>4249</v>
      </c>
      <c r="D135" s="96"/>
      <c r="E135" s="103" t="s">
        <v>1499</v>
      </c>
      <c r="G135" s="1"/>
      <c r="H135" s="13"/>
    </row>
    <row r="136" spans="1:10" ht="80.25" customHeight="1">
      <c r="A136" s="81" t="s">
        <v>214</v>
      </c>
      <c r="B136" s="11" t="s">
        <v>215</v>
      </c>
      <c r="C136" s="12">
        <v>4399</v>
      </c>
      <c r="D136" s="96"/>
      <c r="E136" s="103" t="s">
        <v>1499</v>
      </c>
      <c r="G136" s="1"/>
      <c r="H136" s="13"/>
    </row>
    <row r="137" spans="1:10" ht="80.25" customHeight="1">
      <c r="A137" s="31" t="s">
        <v>212</v>
      </c>
      <c r="B137" s="11" t="s">
        <v>213</v>
      </c>
      <c r="C137" s="12">
        <v>5640</v>
      </c>
      <c r="D137" s="96"/>
      <c r="E137" s="103" t="s">
        <v>1499</v>
      </c>
      <c r="G137" s="1"/>
      <c r="H137" s="13"/>
    </row>
    <row r="138" spans="1:10" ht="80.25" customHeight="1">
      <c r="A138" s="49">
        <v>84600004</v>
      </c>
      <c r="B138" s="50" t="s">
        <v>406</v>
      </c>
      <c r="C138" s="12">
        <v>67</v>
      </c>
      <c r="D138" s="119"/>
      <c r="E138" s="38" t="s">
        <v>1495</v>
      </c>
      <c r="G138" s="1"/>
      <c r="H138" s="13"/>
    </row>
    <row r="139" spans="1:10" ht="80.25" customHeight="1">
      <c r="A139" s="49">
        <v>84600006</v>
      </c>
      <c r="B139" s="143" t="s">
        <v>407</v>
      </c>
      <c r="C139" s="12">
        <v>67</v>
      </c>
      <c r="D139" s="119"/>
      <c r="E139" s="38" t="s">
        <v>1495</v>
      </c>
      <c r="G139" s="1"/>
      <c r="H139" s="13"/>
    </row>
    <row r="140" spans="1:10" ht="80.25" customHeight="1">
      <c r="A140" s="51" t="s">
        <v>408</v>
      </c>
      <c r="B140" s="11" t="s">
        <v>409</v>
      </c>
      <c r="C140" s="12">
        <v>186</v>
      </c>
      <c r="D140" s="119"/>
      <c r="E140" s="38" t="s">
        <v>1495</v>
      </c>
      <c r="G140" s="1"/>
      <c r="H140" s="13"/>
    </row>
    <row r="141" spans="1:10" ht="80.25" customHeight="1" thickBot="1">
      <c r="A141" s="78" t="s">
        <v>410</v>
      </c>
      <c r="B141" s="32" t="s">
        <v>411</v>
      </c>
      <c r="C141" s="115">
        <v>98</v>
      </c>
      <c r="D141" s="145"/>
      <c r="E141" s="38" t="s">
        <v>1495</v>
      </c>
      <c r="G141" s="1"/>
      <c r="H141" s="13"/>
    </row>
    <row r="142" spans="1:10" ht="80.25" customHeight="1" thickBot="1">
      <c r="A142" s="80" t="s">
        <v>412</v>
      </c>
      <c r="B142" s="34" t="s">
        <v>413</v>
      </c>
      <c r="C142" s="116">
        <v>98</v>
      </c>
      <c r="D142" s="40"/>
      <c r="E142" s="102" t="s">
        <v>1495</v>
      </c>
      <c r="F142" s="14"/>
      <c r="G142" s="1"/>
      <c r="J142" s="13"/>
    </row>
    <row r="143" spans="1:10" ht="80.25" customHeight="1">
      <c r="A143" s="51" t="s">
        <v>416</v>
      </c>
      <c r="B143" s="11" t="s">
        <v>417</v>
      </c>
      <c r="C143" s="117">
        <v>582</v>
      </c>
      <c r="D143" s="20"/>
      <c r="E143" s="102" t="s">
        <v>1495</v>
      </c>
      <c r="F143" s="14"/>
      <c r="G143" s="1"/>
      <c r="J143" s="13"/>
    </row>
    <row r="144" spans="1:10" ht="80.25" customHeight="1">
      <c r="A144" s="51" t="s">
        <v>418</v>
      </c>
      <c r="B144" s="11" t="s">
        <v>419</v>
      </c>
      <c r="C144" s="12">
        <v>624</v>
      </c>
      <c r="D144" s="20"/>
      <c r="E144" s="102" t="s">
        <v>1495</v>
      </c>
      <c r="F144" s="14"/>
      <c r="G144" s="1"/>
      <c r="J144" s="13"/>
    </row>
    <row r="145" spans="1:10" ht="80.25" customHeight="1">
      <c r="A145" s="51" t="s">
        <v>414</v>
      </c>
      <c r="B145" s="11" t="s">
        <v>415</v>
      </c>
      <c r="C145" s="12">
        <v>109</v>
      </c>
      <c r="D145" s="20"/>
      <c r="E145" s="102" t="s">
        <v>1495</v>
      </c>
      <c r="F145" s="14"/>
      <c r="G145" s="1"/>
      <c r="J145" s="13"/>
    </row>
    <row r="146" spans="1:10" ht="80.25" customHeight="1">
      <c r="A146" s="11" t="s">
        <v>420</v>
      </c>
      <c r="B146" s="11" t="s">
        <v>409</v>
      </c>
      <c r="C146" s="12">
        <v>165</v>
      </c>
      <c r="D146" s="22"/>
      <c r="E146" s="102" t="s">
        <v>1495</v>
      </c>
      <c r="F146" s="14"/>
      <c r="G146" s="1"/>
      <c r="J146" s="13"/>
    </row>
    <row r="147" spans="1:10" ht="80.25" customHeight="1">
      <c r="A147" s="11" t="s">
        <v>421</v>
      </c>
      <c r="B147" s="11" t="s">
        <v>422</v>
      </c>
      <c r="C147" s="12">
        <v>1365</v>
      </c>
      <c r="D147" s="22"/>
      <c r="E147" s="102" t="s">
        <v>1495</v>
      </c>
      <c r="F147" s="14"/>
      <c r="G147" s="1"/>
      <c r="J147" s="13"/>
    </row>
    <row r="148" spans="1:10" ht="80.25" customHeight="1">
      <c r="A148" s="51" t="s">
        <v>423</v>
      </c>
      <c r="B148" s="11" t="s">
        <v>424</v>
      </c>
      <c r="C148" s="12">
        <v>124</v>
      </c>
      <c r="D148" s="22"/>
      <c r="E148" s="102" t="s">
        <v>1495</v>
      </c>
      <c r="F148" s="14"/>
      <c r="G148" s="1"/>
      <c r="J148" s="13"/>
    </row>
    <row r="149" spans="1:10" ht="80.25" customHeight="1">
      <c r="A149" s="11" t="s">
        <v>425</v>
      </c>
      <c r="B149" s="11" t="s">
        <v>426</v>
      </c>
      <c r="C149" s="12">
        <v>237</v>
      </c>
      <c r="D149" s="24"/>
      <c r="E149" s="102" t="s">
        <v>1495</v>
      </c>
      <c r="F149" s="14"/>
      <c r="G149" s="1"/>
      <c r="J149" s="13"/>
    </row>
    <row r="150" spans="1:10" ht="80.25" customHeight="1">
      <c r="A150" s="11" t="s">
        <v>427</v>
      </c>
      <c r="B150" s="11" t="s">
        <v>428</v>
      </c>
      <c r="C150" s="12">
        <v>237</v>
      </c>
      <c r="D150" s="20"/>
      <c r="E150" s="102" t="s">
        <v>1495</v>
      </c>
      <c r="F150" s="14"/>
      <c r="G150" s="1"/>
      <c r="J150" s="13"/>
    </row>
    <row r="151" spans="1:10" ht="80.25" customHeight="1">
      <c r="A151" s="11" t="s">
        <v>745</v>
      </c>
      <c r="B151" s="11" t="s">
        <v>746</v>
      </c>
      <c r="C151" s="12">
        <v>376</v>
      </c>
      <c r="D151" s="20"/>
      <c r="E151" s="102" t="s">
        <v>1495</v>
      </c>
      <c r="F151" s="14"/>
      <c r="G151" s="1"/>
      <c r="J151" s="13"/>
    </row>
    <row r="152" spans="1:10" ht="80.25" customHeight="1">
      <c r="A152" s="11" t="s">
        <v>9</v>
      </c>
      <c r="B152" s="11" t="s">
        <v>747</v>
      </c>
      <c r="C152" s="12">
        <v>346</v>
      </c>
      <c r="D152" s="20"/>
      <c r="E152" s="102" t="s">
        <v>1495</v>
      </c>
      <c r="F152" s="14"/>
      <c r="G152" s="1"/>
      <c r="J152" s="13"/>
    </row>
    <row r="153" spans="1:10" ht="80.25" customHeight="1">
      <c r="A153" s="11" t="s">
        <v>748</v>
      </c>
      <c r="B153" s="11" t="s">
        <v>749</v>
      </c>
      <c r="C153" s="12">
        <v>109</v>
      </c>
      <c r="D153" s="20"/>
      <c r="E153" s="102" t="s">
        <v>1495</v>
      </c>
      <c r="F153" s="14"/>
      <c r="G153" s="1"/>
      <c r="J153" s="13"/>
    </row>
    <row r="154" spans="1:10" ht="80.25" customHeight="1">
      <c r="A154" s="11" t="s">
        <v>750</v>
      </c>
      <c r="B154" s="11" t="s">
        <v>751</v>
      </c>
      <c r="C154" s="12">
        <v>52</v>
      </c>
      <c r="D154" s="20"/>
      <c r="E154" s="102" t="s">
        <v>1495</v>
      </c>
      <c r="F154" s="14"/>
      <c r="G154" s="1"/>
      <c r="J154" s="13"/>
    </row>
    <row r="155" spans="1:10" ht="80.25" customHeight="1">
      <c r="A155" s="11" t="s">
        <v>752</v>
      </c>
      <c r="B155" s="11" t="s">
        <v>753</v>
      </c>
      <c r="C155" s="12">
        <v>304</v>
      </c>
      <c r="D155" s="20"/>
      <c r="E155" s="102" t="s">
        <v>1495</v>
      </c>
      <c r="F155" s="14"/>
      <c r="G155" s="1"/>
      <c r="J155" s="13"/>
    </row>
    <row r="156" spans="1:10" ht="80.25" customHeight="1">
      <c r="A156" s="11" t="s">
        <v>448</v>
      </c>
      <c r="B156" s="11" t="s">
        <v>447</v>
      </c>
      <c r="C156" s="12">
        <v>114</v>
      </c>
      <c r="D156" s="20"/>
      <c r="E156" s="38" t="s">
        <v>1495</v>
      </c>
      <c r="F156" s="14"/>
      <c r="G156" s="1"/>
      <c r="J156" s="13"/>
    </row>
    <row r="157" spans="1:10" ht="80.25" customHeight="1">
      <c r="A157" s="11" t="s">
        <v>448</v>
      </c>
      <c r="B157" s="11" t="s">
        <v>447</v>
      </c>
      <c r="C157" s="12">
        <v>114</v>
      </c>
      <c r="D157" s="20"/>
      <c r="E157" s="38" t="s">
        <v>1495</v>
      </c>
      <c r="F157" s="14"/>
      <c r="G157" s="1"/>
      <c r="J157" s="13"/>
    </row>
    <row r="158" spans="1:10" ht="80.25" customHeight="1">
      <c r="A158" s="11" t="s">
        <v>754</v>
      </c>
      <c r="B158" s="11" t="s">
        <v>755</v>
      </c>
      <c r="C158" s="12">
        <v>325</v>
      </c>
      <c r="D158" s="20"/>
      <c r="E158" s="38" t="s">
        <v>1495</v>
      </c>
      <c r="F158" s="14"/>
      <c r="G158" s="1"/>
      <c r="J158" s="13"/>
    </row>
    <row r="159" spans="1:10" ht="80.25" customHeight="1">
      <c r="A159" s="11" t="s">
        <v>756</v>
      </c>
      <c r="B159" s="11" t="s">
        <v>757</v>
      </c>
      <c r="C159" s="85" t="s">
        <v>758</v>
      </c>
      <c r="D159" s="20"/>
      <c r="E159" s="38" t="s">
        <v>1495</v>
      </c>
      <c r="F159" s="14"/>
      <c r="G159" s="1"/>
      <c r="J159" s="13"/>
    </row>
    <row r="160" spans="1:10" ht="80.25" customHeight="1">
      <c r="A160" s="51" t="s">
        <v>759</v>
      </c>
      <c r="B160" s="11" t="s">
        <v>760</v>
      </c>
      <c r="C160" s="12">
        <v>-412</v>
      </c>
      <c r="D160" s="1"/>
      <c r="E160" s="38" t="s">
        <v>1495</v>
      </c>
      <c r="F160" s="14"/>
      <c r="G160" s="1"/>
      <c r="J160" s="13"/>
    </row>
    <row r="161" spans="1:10" ht="80.25" customHeight="1">
      <c r="A161" s="11" t="s">
        <v>761</v>
      </c>
      <c r="B161" s="11" t="s">
        <v>762</v>
      </c>
      <c r="C161" s="12">
        <v>433</v>
      </c>
      <c r="D161" s="1"/>
      <c r="E161" s="38" t="s">
        <v>1495</v>
      </c>
      <c r="F161" s="14"/>
      <c r="G161" s="1"/>
      <c r="J161" s="13"/>
    </row>
    <row r="162" spans="1:10" ht="80.25" customHeight="1">
      <c r="A162" s="11" t="s">
        <v>763</v>
      </c>
      <c r="B162" s="11" t="s">
        <v>764</v>
      </c>
      <c r="C162" s="12">
        <v>325</v>
      </c>
      <c r="D162" s="1"/>
      <c r="E162" s="38" t="s">
        <v>1495</v>
      </c>
      <c r="F162" s="14"/>
      <c r="G162" s="1"/>
      <c r="J162" s="13"/>
    </row>
    <row r="163" spans="1:10" ht="80.25" customHeight="1">
      <c r="A163" s="51" t="s">
        <v>765</v>
      </c>
      <c r="B163" s="11" t="s">
        <v>766</v>
      </c>
      <c r="C163" s="12">
        <v>191</v>
      </c>
      <c r="D163" s="1"/>
      <c r="E163" s="38" t="s">
        <v>1495</v>
      </c>
      <c r="F163" s="14"/>
      <c r="G163" s="1"/>
      <c r="J163" s="13"/>
    </row>
    <row r="164" spans="1:10" ht="80.25" customHeight="1">
      <c r="A164" s="51" t="s">
        <v>767</v>
      </c>
      <c r="B164" s="11" t="s">
        <v>768</v>
      </c>
      <c r="C164" s="12">
        <v>1118</v>
      </c>
      <c r="D164" s="1"/>
      <c r="E164" s="38" t="s">
        <v>1495</v>
      </c>
      <c r="F164" s="14"/>
      <c r="G164" s="1"/>
      <c r="J164" s="13"/>
    </row>
    <row r="165" spans="1:10" ht="80.25" customHeight="1">
      <c r="A165" s="11" t="s">
        <v>769</v>
      </c>
      <c r="B165" s="11" t="s">
        <v>770</v>
      </c>
      <c r="C165" s="12">
        <v>88</v>
      </c>
      <c r="D165" s="1"/>
      <c r="E165" s="38" t="s">
        <v>1495</v>
      </c>
      <c r="F165" s="14"/>
      <c r="G165" s="1"/>
      <c r="J165" s="13"/>
    </row>
    <row r="166" spans="1:10" ht="80.25" customHeight="1">
      <c r="A166" s="11" t="s">
        <v>771</v>
      </c>
      <c r="B166" s="11" t="s">
        <v>772</v>
      </c>
      <c r="C166" s="12">
        <v>469</v>
      </c>
      <c r="D166" s="1"/>
      <c r="E166" s="38" t="s">
        <v>1495</v>
      </c>
      <c r="F166" s="14"/>
      <c r="G166" s="1"/>
      <c r="J166" s="13"/>
    </row>
    <row r="167" spans="1:10" ht="80.25" customHeight="1">
      <c r="A167" s="11" t="s">
        <v>773</v>
      </c>
      <c r="B167" s="11" t="s">
        <v>774</v>
      </c>
      <c r="C167" s="12">
        <v>289</v>
      </c>
      <c r="D167" s="16"/>
      <c r="E167" s="38" t="s">
        <v>1495</v>
      </c>
      <c r="F167" s="14"/>
      <c r="G167" s="1"/>
      <c r="J167" s="13"/>
    </row>
    <row r="168" spans="1:10" ht="80.25" customHeight="1">
      <c r="A168" s="11" t="s">
        <v>775</v>
      </c>
      <c r="B168" s="11" t="s">
        <v>776</v>
      </c>
      <c r="C168" s="87" t="s">
        <v>758</v>
      </c>
      <c r="D168" s="1"/>
      <c r="E168" s="38" t="s">
        <v>1495</v>
      </c>
      <c r="F168" s="14"/>
      <c r="G168" s="1"/>
      <c r="J168" s="13"/>
    </row>
    <row r="169" spans="1:10" ht="80.25" customHeight="1">
      <c r="A169" s="11" t="s">
        <v>777</v>
      </c>
      <c r="B169" s="11" t="s">
        <v>778</v>
      </c>
      <c r="C169" s="12">
        <v>433</v>
      </c>
      <c r="D169" s="1"/>
      <c r="E169" s="38" t="s">
        <v>1495</v>
      </c>
      <c r="F169" s="14"/>
      <c r="G169" s="1"/>
      <c r="J169" s="13"/>
    </row>
    <row r="170" spans="1:10" ht="80.25" customHeight="1">
      <c r="A170" s="11" t="s">
        <v>779</v>
      </c>
      <c r="B170" s="11" t="s">
        <v>780</v>
      </c>
      <c r="C170" s="12">
        <v>1028</v>
      </c>
      <c r="D170" s="1"/>
      <c r="E170" s="38" t="s">
        <v>1495</v>
      </c>
      <c r="F170" s="14"/>
      <c r="G170" s="1"/>
      <c r="J170" s="13"/>
    </row>
    <row r="171" spans="1:10" ht="80.25" customHeight="1">
      <c r="A171" s="11" t="s">
        <v>781</v>
      </c>
      <c r="B171" s="11" t="s">
        <v>782</v>
      </c>
      <c r="C171" s="12">
        <v>263</v>
      </c>
      <c r="D171" s="1"/>
      <c r="E171" s="38" t="s">
        <v>1495</v>
      </c>
      <c r="F171" s="14"/>
      <c r="G171" s="1"/>
      <c r="J171" s="13"/>
    </row>
    <row r="172" spans="1:10" ht="80.25" customHeight="1">
      <c r="A172" s="11" t="s">
        <v>783</v>
      </c>
      <c r="B172" s="11" t="s">
        <v>784</v>
      </c>
      <c r="C172" s="12">
        <v>974</v>
      </c>
      <c r="D172" s="1"/>
      <c r="E172" s="38" t="s">
        <v>1495</v>
      </c>
      <c r="F172" s="14"/>
      <c r="G172" s="1"/>
      <c r="J172" s="13"/>
    </row>
    <row r="173" spans="1:10" ht="80.25" customHeight="1">
      <c r="A173" s="11" t="s">
        <v>785</v>
      </c>
      <c r="B173" s="11" t="s">
        <v>786</v>
      </c>
      <c r="C173" s="12">
        <v>1216</v>
      </c>
      <c r="D173" s="1"/>
      <c r="E173" s="38" t="s">
        <v>1495</v>
      </c>
      <c r="F173" s="14"/>
      <c r="G173" s="28"/>
      <c r="J173" s="13"/>
    </row>
    <row r="174" spans="1:10" ht="80.25" customHeight="1">
      <c r="A174" s="11" t="s">
        <v>787</v>
      </c>
      <c r="B174" s="11" t="s">
        <v>788</v>
      </c>
      <c r="C174" s="12">
        <v>1355</v>
      </c>
      <c r="D174" s="1"/>
      <c r="E174" s="38" t="s">
        <v>1495</v>
      </c>
      <c r="F174" s="14"/>
      <c r="G174" s="28"/>
      <c r="J174" s="13"/>
    </row>
    <row r="175" spans="1:10" ht="80.25" customHeight="1">
      <c r="A175" s="11" t="s">
        <v>789</v>
      </c>
      <c r="B175" s="11" t="s">
        <v>790</v>
      </c>
      <c r="C175" s="12">
        <v>315</v>
      </c>
      <c r="D175" s="1"/>
      <c r="E175" s="38" t="s">
        <v>1495</v>
      </c>
      <c r="F175" s="46"/>
      <c r="G175" s="42"/>
      <c r="J175" s="13"/>
    </row>
    <row r="176" spans="1:10" ht="80.25" customHeight="1">
      <c r="A176" s="11" t="s">
        <v>791</v>
      </c>
      <c r="B176" s="11" t="s">
        <v>792</v>
      </c>
      <c r="C176" s="12">
        <v>783</v>
      </c>
      <c r="D176" s="1"/>
      <c r="E176" s="38" t="s">
        <v>1495</v>
      </c>
      <c r="F176" s="14"/>
      <c r="G176" s="1"/>
      <c r="J176" s="13"/>
    </row>
    <row r="177" spans="1:10" ht="80.25" customHeight="1">
      <c r="A177" s="11" t="s">
        <v>793</v>
      </c>
      <c r="B177" s="11" t="s">
        <v>792</v>
      </c>
      <c r="C177" s="12">
        <v>824</v>
      </c>
      <c r="D177" s="1"/>
      <c r="E177" s="38" t="s">
        <v>1495</v>
      </c>
      <c r="F177" s="14"/>
      <c r="G177" s="1"/>
      <c r="J177" s="13"/>
    </row>
    <row r="178" spans="1:10" ht="80.25" customHeight="1">
      <c r="A178" s="11" t="s">
        <v>794</v>
      </c>
      <c r="B178" s="11" t="s">
        <v>795</v>
      </c>
      <c r="C178" s="12">
        <v>16</v>
      </c>
      <c r="D178" s="1"/>
      <c r="E178" s="38" t="s">
        <v>1495</v>
      </c>
      <c r="F178" s="14"/>
      <c r="G178" s="1"/>
      <c r="J178" s="13"/>
    </row>
    <row r="179" spans="1:10" ht="80.25" customHeight="1">
      <c r="A179" s="11" t="s">
        <v>796</v>
      </c>
      <c r="B179" s="11" t="s">
        <v>797</v>
      </c>
      <c r="C179" s="12">
        <v>26</v>
      </c>
      <c r="D179" s="1"/>
      <c r="E179" s="38" t="s">
        <v>1495</v>
      </c>
      <c r="F179" s="14"/>
      <c r="G179" s="1"/>
      <c r="J179" s="13"/>
    </row>
    <row r="180" spans="1:10" ht="80.25" customHeight="1">
      <c r="A180" s="11" t="s">
        <v>798</v>
      </c>
      <c r="B180" s="11" t="s">
        <v>799</v>
      </c>
      <c r="C180" s="12">
        <v>258</v>
      </c>
      <c r="D180" s="1"/>
      <c r="E180" s="38" t="s">
        <v>1495</v>
      </c>
      <c r="F180" s="14"/>
      <c r="G180" s="1"/>
      <c r="J180" s="13"/>
    </row>
    <row r="181" spans="1:10" ht="80.25" customHeight="1">
      <c r="A181" s="51" t="s">
        <v>800</v>
      </c>
      <c r="B181" s="11" t="s">
        <v>801</v>
      </c>
      <c r="C181" s="12">
        <v>2148</v>
      </c>
      <c r="D181" s="1"/>
      <c r="E181" s="38" t="s">
        <v>1495</v>
      </c>
      <c r="F181" s="14"/>
      <c r="G181" s="1"/>
      <c r="J181" s="13"/>
    </row>
    <row r="182" spans="1:10" ht="80.25" customHeight="1">
      <c r="A182" s="51" t="s">
        <v>802</v>
      </c>
      <c r="B182" s="11" t="s">
        <v>803</v>
      </c>
      <c r="C182" s="12">
        <v>2277</v>
      </c>
      <c r="D182" s="1"/>
      <c r="E182" s="38" t="s">
        <v>1495</v>
      </c>
      <c r="F182" s="14"/>
      <c r="G182" s="1"/>
      <c r="J182" s="13"/>
    </row>
    <row r="183" spans="1:10" ht="80.25" customHeight="1">
      <c r="A183" s="51" t="s">
        <v>804</v>
      </c>
      <c r="B183" s="11" t="s">
        <v>805</v>
      </c>
      <c r="C183" s="12">
        <v>1911</v>
      </c>
      <c r="D183" s="1"/>
      <c r="E183" s="38" t="s">
        <v>1495</v>
      </c>
      <c r="F183" s="14"/>
      <c r="G183" s="1"/>
      <c r="J183" s="13"/>
    </row>
    <row r="184" spans="1:10" ht="80.25" customHeight="1">
      <c r="A184" s="51" t="s">
        <v>806</v>
      </c>
      <c r="B184" s="11" t="s">
        <v>807</v>
      </c>
      <c r="C184" s="12">
        <v>2040</v>
      </c>
      <c r="D184" s="1"/>
      <c r="E184" s="38" t="s">
        <v>1495</v>
      </c>
      <c r="F184" s="14"/>
      <c r="G184" s="1"/>
      <c r="J184" s="13"/>
    </row>
    <row r="185" spans="1:10" ht="80.25" customHeight="1">
      <c r="A185" s="51" t="s">
        <v>808</v>
      </c>
      <c r="B185" s="11" t="s">
        <v>809</v>
      </c>
      <c r="C185" s="12">
        <v>237</v>
      </c>
      <c r="D185" s="1"/>
      <c r="E185" s="38" t="s">
        <v>1495</v>
      </c>
      <c r="F185" s="14"/>
      <c r="G185" s="1"/>
      <c r="J185" s="13"/>
    </row>
    <row r="186" spans="1:10" ht="80.25" customHeight="1">
      <c r="A186" s="51" t="s">
        <v>810</v>
      </c>
      <c r="B186" s="11" t="s">
        <v>811</v>
      </c>
      <c r="C186" s="12">
        <v>52</v>
      </c>
      <c r="D186" s="1"/>
      <c r="E186" s="38" t="s">
        <v>1495</v>
      </c>
      <c r="F186" s="14"/>
      <c r="G186" s="1"/>
      <c r="J186" s="13"/>
    </row>
    <row r="187" spans="1:10" ht="80.25" customHeight="1">
      <c r="A187" s="51" t="s">
        <v>812</v>
      </c>
      <c r="B187" s="11" t="s">
        <v>813</v>
      </c>
      <c r="C187" s="12">
        <v>93</v>
      </c>
      <c r="D187" s="1"/>
      <c r="E187" s="38" t="s">
        <v>1495</v>
      </c>
      <c r="F187" s="14"/>
      <c r="G187" s="1"/>
      <c r="J187" s="13"/>
    </row>
    <row r="188" spans="1:10" ht="80.25" customHeight="1">
      <c r="A188" s="51" t="s">
        <v>814</v>
      </c>
      <c r="B188" s="11" t="s">
        <v>815</v>
      </c>
      <c r="C188" s="12">
        <v>346</v>
      </c>
      <c r="D188" s="1"/>
      <c r="E188" s="38" t="s">
        <v>1495</v>
      </c>
      <c r="F188" s="14"/>
      <c r="G188" s="1"/>
      <c r="J188" s="13"/>
    </row>
    <row r="189" spans="1:10" ht="80.25" customHeight="1">
      <c r="A189" s="51" t="s">
        <v>816</v>
      </c>
      <c r="B189" s="11" t="s">
        <v>817</v>
      </c>
      <c r="C189" s="12">
        <v>52</v>
      </c>
      <c r="D189" s="1"/>
      <c r="E189" s="38" t="s">
        <v>1495</v>
      </c>
      <c r="F189" s="14"/>
      <c r="G189" s="1"/>
      <c r="J189" s="13"/>
    </row>
    <row r="190" spans="1:10" ht="80.25" customHeight="1">
      <c r="A190" s="51" t="s">
        <v>818</v>
      </c>
      <c r="B190" s="64" t="s">
        <v>819</v>
      </c>
      <c r="C190" s="12">
        <v>1798</v>
      </c>
      <c r="D190" s="1"/>
      <c r="E190" s="38" t="s">
        <v>1495</v>
      </c>
      <c r="F190" s="14"/>
      <c r="G190" s="1"/>
      <c r="J190" s="13"/>
    </row>
    <row r="191" spans="1:10" ht="80.25" customHeight="1">
      <c r="A191" s="51" t="s">
        <v>820</v>
      </c>
      <c r="B191" s="11" t="s">
        <v>821</v>
      </c>
      <c r="C191" s="12">
        <v>1808</v>
      </c>
      <c r="D191" s="1"/>
      <c r="E191" s="38" t="s">
        <v>1495</v>
      </c>
      <c r="F191" s="14"/>
      <c r="G191" s="1"/>
      <c r="J191" s="13"/>
    </row>
    <row r="192" spans="1:10" ht="80.25" customHeight="1">
      <c r="A192" s="51" t="s">
        <v>822</v>
      </c>
      <c r="B192" s="64" t="s">
        <v>823</v>
      </c>
      <c r="C192" s="12">
        <v>232</v>
      </c>
      <c r="D192" s="1"/>
      <c r="E192" s="38" t="s">
        <v>1495</v>
      </c>
      <c r="F192" s="14"/>
      <c r="G192" s="1"/>
      <c r="J192" s="13"/>
    </row>
    <row r="193" spans="1:10" ht="80.25" customHeight="1">
      <c r="A193" s="51" t="s">
        <v>824</v>
      </c>
      <c r="B193" s="11" t="s">
        <v>825</v>
      </c>
      <c r="C193" s="12">
        <v>294</v>
      </c>
      <c r="D193" s="1"/>
      <c r="E193" s="38" t="s">
        <v>1495</v>
      </c>
      <c r="F193" s="14"/>
      <c r="G193" s="1"/>
      <c r="J193" s="13"/>
    </row>
    <row r="194" spans="1:10" ht="80.25" customHeight="1">
      <c r="A194" s="51" t="s">
        <v>826</v>
      </c>
      <c r="B194" s="11" t="s">
        <v>827</v>
      </c>
      <c r="C194" s="12">
        <v>1164</v>
      </c>
      <c r="D194" s="16"/>
      <c r="E194" s="38" t="s">
        <v>1495</v>
      </c>
      <c r="F194" s="14"/>
      <c r="G194" s="1"/>
      <c r="J194" s="13"/>
    </row>
    <row r="195" spans="1:10" ht="80.25" customHeight="1">
      <c r="A195" s="51" t="s">
        <v>828</v>
      </c>
      <c r="B195" s="11" t="s">
        <v>829</v>
      </c>
      <c r="C195" s="12">
        <v>1262</v>
      </c>
      <c r="D195" s="16"/>
      <c r="E195" s="38" t="s">
        <v>1495</v>
      </c>
      <c r="F195" s="14"/>
      <c r="G195" s="1"/>
      <c r="J195" s="13"/>
    </row>
    <row r="196" spans="1:10" ht="80.25" customHeight="1">
      <c r="A196" s="51" t="s">
        <v>830</v>
      </c>
      <c r="B196" s="11" t="s">
        <v>831</v>
      </c>
      <c r="C196" s="12">
        <v>1504</v>
      </c>
      <c r="D196" s="1"/>
      <c r="E196" s="38" t="s">
        <v>1495</v>
      </c>
      <c r="F196" s="14"/>
      <c r="G196" s="1"/>
      <c r="J196" s="13"/>
    </row>
    <row r="197" spans="1:10" ht="80.25" customHeight="1">
      <c r="A197" s="51" t="s">
        <v>832</v>
      </c>
      <c r="B197" s="11" t="s">
        <v>833</v>
      </c>
      <c r="C197" s="12">
        <v>1695</v>
      </c>
      <c r="D197" s="1"/>
      <c r="E197" s="38" t="s">
        <v>1495</v>
      </c>
      <c r="F197" s="14"/>
      <c r="G197" s="1"/>
      <c r="J197" s="13"/>
    </row>
    <row r="198" spans="1:10" ht="80.25" customHeight="1">
      <c r="A198" s="51" t="s">
        <v>834</v>
      </c>
      <c r="B198" s="11" t="s">
        <v>835</v>
      </c>
      <c r="C198" s="12">
        <v>660</v>
      </c>
      <c r="D198" s="1"/>
      <c r="E198" s="38" t="s">
        <v>1495</v>
      </c>
      <c r="F198" s="14"/>
      <c r="G198" s="1"/>
      <c r="J198" s="13"/>
    </row>
    <row r="199" spans="1:10" ht="80.25" customHeight="1">
      <c r="A199" s="51" t="s">
        <v>836</v>
      </c>
      <c r="B199" s="11" t="s">
        <v>837</v>
      </c>
      <c r="C199" s="12">
        <v>948</v>
      </c>
      <c r="D199" s="1"/>
      <c r="E199" s="38" t="s">
        <v>1495</v>
      </c>
      <c r="F199" s="14"/>
      <c r="G199" s="1"/>
      <c r="J199" s="13"/>
    </row>
    <row r="200" spans="1:10" ht="80.25" customHeight="1">
      <c r="A200" s="51" t="s">
        <v>838</v>
      </c>
      <c r="B200" s="11" t="s">
        <v>839</v>
      </c>
      <c r="C200" s="12">
        <v>1200</v>
      </c>
      <c r="D200" s="1"/>
      <c r="E200" s="38" t="s">
        <v>1495</v>
      </c>
      <c r="F200" s="14"/>
      <c r="G200" s="1"/>
      <c r="J200" s="13"/>
    </row>
    <row r="201" spans="1:10" ht="80.25" customHeight="1">
      <c r="A201" s="51" t="s">
        <v>840</v>
      </c>
      <c r="B201" s="11" t="s">
        <v>841</v>
      </c>
      <c r="C201" s="12">
        <v>624</v>
      </c>
      <c r="D201" s="1"/>
      <c r="E201" s="38" t="s">
        <v>1495</v>
      </c>
      <c r="F201" s="14"/>
      <c r="G201" s="1"/>
      <c r="J201" s="13"/>
    </row>
    <row r="202" spans="1:10" ht="80.25" customHeight="1">
      <c r="A202" s="11" t="s">
        <v>842</v>
      </c>
      <c r="B202" s="11" t="s">
        <v>843</v>
      </c>
      <c r="C202" s="12">
        <v>299</v>
      </c>
      <c r="D202" s="1"/>
      <c r="E202" s="38" t="s">
        <v>1495</v>
      </c>
      <c r="F202" s="14"/>
      <c r="G202" s="1"/>
      <c r="J202" s="13"/>
    </row>
    <row r="203" spans="1:10" ht="80.25" customHeight="1">
      <c r="A203" s="11" t="s">
        <v>846</v>
      </c>
      <c r="B203" s="11" t="s">
        <v>847</v>
      </c>
      <c r="C203" s="12">
        <v>685</v>
      </c>
      <c r="D203" s="1"/>
      <c r="E203" s="38" t="s">
        <v>1495</v>
      </c>
      <c r="F203" s="14"/>
      <c r="G203" s="1"/>
      <c r="J203" s="13"/>
    </row>
    <row r="204" spans="1:10" ht="80.25" customHeight="1">
      <c r="A204" s="11" t="s">
        <v>848</v>
      </c>
      <c r="B204" s="11" t="s">
        <v>849</v>
      </c>
      <c r="C204" s="12">
        <v>685</v>
      </c>
      <c r="D204" s="1"/>
      <c r="E204" s="38" t="s">
        <v>1495</v>
      </c>
      <c r="F204" s="14"/>
      <c r="G204" s="1"/>
      <c r="J204" s="13"/>
    </row>
    <row r="205" spans="1:10" ht="80.25" customHeight="1">
      <c r="A205" s="11" t="s">
        <v>844</v>
      </c>
      <c r="B205" s="11" t="s">
        <v>845</v>
      </c>
      <c r="C205" s="12">
        <v>346</v>
      </c>
      <c r="D205" s="1"/>
      <c r="E205" s="38" t="s">
        <v>1495</v>
      </c>
      <c r="F205" s="14"/>
      <c r="G205" s="1"/>
      <c r="J205" s="13"/>
    </row>
    <row r="206" spans="1:10" ht="80.25" customHeight="1">
      <c r="A206" s="51" t="s">
        <v>850</v>
      </c>
      <c r="B206" s="11" t="s">
        <v>851</v>
      </c>
      <c r="C206" s="12">
        <v>685</v>
      </c>
      <c r="D206" s="1"/>
      <c r="E206" s="38" t="s">
        <v>1495</v>
      </c>
      <c r="F206" s="14"/>
      <c r="G206" s="1"/>
      <c r="J206" s="13"/>
    </row>
    <row r="207" spans="1:10" ht="80.25" customHeight="1">
      <c r="A207" s="11" t="s">
        <v>852</v>
      </c>
      <c r="B207" s="11" t="s">
        <v>853</v>
      </c>
      <c r="C207" s="12">
        <v>685</v>
      </c>
      <c r="D207" s="1"/>
      <c r="E207" s="38" t="s">
        <v>1495</v>
      </c>
      <c r="F207" s="14"/>
      <c r="G207" s="1"/>
      <c r="J207" s="13"/>
    </row>
    <row r="208" spans="1:10" ht="80.25" customHeight="1">
      <c r="A208" s="51" t="s">
        <v>854</v>
      </c>
      <c r="B208" s="11" t="s">
        <v>855</v>
      </c>
      <c r="C208" s="67">
        <v>206</v>
      </c>
      <c r="D208" s="1"/>
      <c r="E208" s="38" t="s">
        <v>1495</v>
      </c>
      <c r="F208" s="14"/>
      <c r="G208" s="1"/>
      <c r="J208" s="13"/>
    </row>
    <row r="209" spans="1:10" ht="80.25" customHeight="1">
      <c r="A209" s="68" t="s">
        <v>856</v>
      </c>
      <c r="B209" s="69" t="s">
        <v>857</v>
      </c>
      <c r="C209" s="67">
        <v>83</v>
      </c>
      <c r="D209" s="16"/>
      <c r="E209" s="38" t="s">
        <v>1495</v>
      </c>
      <c r="F209" s="14"/>
      <c r="G209" s="1"/>
      <c r="J209" s="13"/>
    </row>
    <row r="210" spans="1:10" ht="80.25" customHeight="1">
      <c r="A210" s="51" t="s">
        <v>858</v>
      </c>
      <c r="B210" s="11" t="s">
        <v>859</v>
      </c>
      <c r="C210" s="67">
        <v>346</v>
      </c>
      <c r="D210" s="55"/>
      <c r="E210" s="119" t="s">
        <v>1495</v>
      </c>
      <c r="F210" s="14"/>
      <c r="G210" s="28"/>
      <c r="J210" s="13"/>
    </row>
    <row r="211" spans="1:10" ht="80.25" customHeight="1">
      <c r="A211" s="51" t="s">
        <v>860</v>
      </c>
      <c r="B211" s="11" t="s">
        <v>861</v>
      </c>
      <c r="C211" s="67">
        <v>510</v>
      </c>
      <c r="D211" s="119"/>
      <c r="E211" s="119" t="s">
        <v>1495</v>
      </c>
      <c r="F211" s="14"/>
      <c r="G211" s="28"/>
      <c r="J211" s="13"/>
    </row>
    <row r="212" spans="1:10" ht="80.25" customHeight="1">
      <c r="A212" s="51" t="s">
        <v>862</v>
      </c>
      <c r="B212" s="64" t="s">
        <v>863</v>
      </c>
      <c r="C212" s="67">
        <v>47</v>
      </c>
      <c r="D212" s="119"/>
      <c r="E212" s="119" t="s">
        <v>1495</v>
      </c>
      <c r="F212" s="14"/>
      <c r="G212" s="28"/>
      <c r="J212" s="13"/>
    </row>
    <row r="213" spans="1:10" ht="80.25" customHeight="1">
      <c r="A213" s="51" t="s">
        <v>864</v>
      </c>
      <c r="B213" s="11" t="s">
        <v>865</v>
      </c>
      <c r="C213" s="67">
        <v>47</v>
      </c>
      <c r="D213" s="119"/>
      <c r="E213" s="119" t="s">
        <v>1495</v>
      </c>
      <c r="F213" s="14"/>
      <c r="G213" s="28"/>
      <c r="J213" s="13"/>
    </row>
    <row r="214" spans="1:10" ht="80.25" customHeight="1">
      <c r="A214" s="51" t="s">
        <v>866</v>
      </c>
      <c r="B214" s="11" t="s">
        <v>867</v>
      </c>
      <c r="C214" s="67">
        <v>47</v>
      </c>
      <c r="D214" s="119"/>
      <c r="E214" s="119" t="s">
        <v>1495</v>
      </c>
      <c r="F214" s="14"/>
      <c r="G214" s="28"/>
      <c r="J214" s="13"/>
    </row>
    <row r="215" spans="1:10" ht="80.25" customHeight="1">
      <c r="A215" s="51" t="s">
        <v>868</v>
      </c>
      <c r="B215" s="11" t="s">
        <v>869</v>
      </c>
      <c r="C215" s="67">
        <v>47</v>
      </c>
      <c r="D215" s="119"/>
      <c r="E215" s="119" t="s">
        <v>1495</v>
      </c>
      <c r="F215" s="14"/>
      <c r="G215" s="28"/>
      <c r="J215" s="13"/>
    </row>
    <row r="216" spans="1:10" ht="80.25" customHeight="1">
      <c r="A216" s="51" t="s">
        <v>870</v>
      </c>
      <c r="B216" s="11" t="s">
        <v>871</v>
      </c>
      <c r="C216" s="67">
        <v>26</v>
      </c>
      <c r="D216" s="119"/>
      <c r="E216" s="119" t="s">
        <v>1495</v>
      </c>
      <c r="F216" s="14"/>
      <c r="G216" s="1"/>
      <c r="J216" s="13"/>
    </row>
    <row r="217" spans="1:10" ht="80.25" customHeight="1">
      <c r="A217" s="51" t="s">
        <v>872</v>
      </c>
      <c r="B217" s="11" t="s">
        <v>873</v>
      </c>
      <c r="C217" s="67">
        <v>26</v>
      </c>
      <c r="D217" s="128"/>
      <c r="E217" s="120" t="s">
        <v>1495</v>
      </c>
      <c r="F217" s="14"/>
      <c r="G217" s="1"/>
      <c r="J217" s="13"/>
    </row>
    <row r="218" spans="1:10" ht="80.25" customHeight="1">
      <c r="A218" s="11" t="s">
        <v>874</v>
      </c>
      <c r="B218" s="11" t="s">
        <v>875</v>
      </c>
      <c r="C218" s="67">
        <v>304</v>
      </c>
      <c r="D218" s="119"/>
      <c r="E218" s="119" t="s">
        <v>1495</v>
      </c>
      <c r="F218" s="14"/>
      <c r="G218" s="1"/>
      <c r="J218" s="13"/>
    </row>
    <row r="219" spans="1:10" ht="80.25" customHeight="1">
      <c r="A219" s="51" t="s">
        <v>876</v>
      </c>
      <c r="B219" s="11" t="s">
        <v>877</v>
      </c>
      <c r="C219" s="67">
        <v>237</v>
      </c>
      <c r="D219" s="119"/>
      <c r="E219" s="119" t="s">
        <v>1495</v>
      </c>
      <c r="F219" s="14"/>
      <c r="G219" s="1"/>
      <c r="J219" s="13"/>
    </row>
    <row r="220" spans="1:10" ht="80.25" customHeight="1">
      <c r="A220" s="11" t="s">
        <v>878</v>
      </c>
      <c r="B220" s="11" t="s">
        <v>879</v>
      </c>
      <c r="C220" s="67">
        <v>1030</v>
      </c>
      <c r="D220" s="119"/>
      <c r="E220" s="119" t="s">
        <v>1495</v>
      </c>
      <c r="F220" s="14"/>
      <c r="G220" s="1"/>
      <c r="J220" s="13"/>
    </row>
    <row r="221" spans="1:10" ht="80.25" customHeight="1">
      <c r="A221" s="11" t="s">
        <v>880</v>
      </c>
      <c r="B221" s="11" t="s">
        <v>881</v>
      </c>
      <c r="C221" s="67">
        <v>263</v>
      </c>
      <c r="D221" s="55"/>
      <c r="E221" s="119" t="s">
        <v>1495</v>
      </c>
      <c r="F221" s="14"/>
      <c r="G221" s="1"/>
      <c r="J221" s="13"/>
    </row>
    <row r="222" spans="1:10" ht="80.25" customHeight="1">
      <c r="A222" s="11" t="s">
        <v>882</v>
      </c>
      <c r="B222" s="11" t="s">
        <v>883</v>
      </c>
      <c r="C222" s="67">
        <v>840</v>
      </c>
      <c r="D222" s="55"/>
      <c r="E222" s="119" t="s">
        <v>1495</v>
      </c>
      <c r="F222" s="14"/>
      <c r="G222" s="1"/>
      <c r="J222" s="13"/>
    </row>
    <row r="223" spans="1:10" ht="80.25" customHeight="1">
      <c r="A223" s="11" t="s">
        <v>884</v>
      </c>
      <c r="B223" s="11" t="s">
        <v>885</v>
      </c>
      <c r="C223" s="67">
        <v>1334</v>
      </c>
      <c r="D223" s="55"/>
      <c r="E223" s="119" t="s">
        <v>1495</v>
      </c>
      <c r="F223" s="14"/>
      <c r="G223" s="1"/>
      <c r="J223" s="13"/>
    </row>
    <row r="224" spans="1:10" ht="80.25" customHeight="1">
      <c r="A224" s="11" t="s">
        <v>886</v>
      </c>
      <c r="B224" s="11" t="s">
        <v>887</v>
      </c>
      <c r="C224" s="67">
        <v>866</v>
      </c>
      <c r="D224" s="55"/>
      <c r="E224" s="119" t="s">
        <v>1495</v>
      </c>
      <c r="F224" s="14"/>
      <c r="G224" s="1"/>
      <c r="J224" s="13"/>
    </row>
    <row r="225" spans="1:10" ht="80.25" customHeight="1">
      <c r="A225" s="11" t="s">
        <v>888</v>
      </c>
      <c r="B225" s="11" t="s">
        <v>889</v>
      </c>
      <c r="C225" s="67">
        <v>1144</v>
      </c>
      <c r="D225" s="100"/>
      <c r="E225" s="119" t="s">
        <v>1495</v>
      </c>
      <c r="F225" s="14"/>
      <c r="G225" s="1"/>
      <c r="J225" s="13"/>
    </row>
    <row r="226" spans="1:10" ht="80.25" customHeight="1">
      <c r="A226" s="11" t="s">
        <v>890</v>
      </c>
      <c r="B226" s="11" t="s">
        <v>891</v>
      </c>
      <c r="C226" s="67">
        <v>989</v>
      </c>
      <c r="D226" s="100"/>
      <c r="E226" s="119" t="s">
        <v>1495</v>
      </c>
      <c r="F226" s="14"/>
      <c r="G226" s="1"/>
      <c r="J226" s="13"/>
    </row>
    <row r="227" spans="1:10" ht="80.25" customHeight="1">
      <c r="A227" s="11" t="s">
        <v>892</v>
      </c>
      <c r="B227" s="11" t="s">
        <v>893</v>
      </c>
      <c r="C227" s="67">
        <v>1175</v>
      </c>
      <c r="D227" s="55"/>
      <c r="E227" s="119" t="s">
        <v>1495</v>
      </c>
      <c r="F227" s="14"/>
      <c r="G227" s="1"/>
      <c r="J227" s="13"/>
    </row>
    <row r="228" spans="1:10" ht="80.25" customHeight="1">
      <c r="A228" s="11" t="s">
        <v>894</v>
      </c>
      <c r="B228" s="11" t="s">
        <v>895</v>
      </c>
      <c r="C228" s="67">
        <v>1216</v>
      </c>
      <c r="D228" s="131"/>
      <c r="E228" s="122" t="s">
        <v>1495</v>
      </c>
      <c r="F228" s="14"/>
      <c r="G228" s="1"/>
      <c r="J228" s="13"/>
    </row>
    <row r="229" spans="1:10" ht="80.25" customHeight="1">
      <c r="A229" s="11" t="s">
        <v>896</v>
      </c>
      <c r="B229" s="11" t="s">
        <v>897</v>
      </c>
      <c r="C229" s="67">
        <v>1293</v>
      </c>
      <c r="D229" s="132"/>
      <c r="E229" s="119" t="s">
        <v>1495</v>
      </c>
      <c r="F229" s="14"/>
      <c r="G229" s="1"/>
      <c r="J229" s="13"/>
    </row>
    <row r="230" spans="1:10" ht="80.25" customHeight="1">
      <c r="A230" s="51" t="s">
        <v>898</v>
      </c>
      <c r="B230" s="11" t="s">
        <v>899</v>
      </c>
      <c r="C230" s="67">
        <v>1509</v>
      </c>
      <c r="D230" s="132"/>
      <c r="E230" s="119" t="s">
        <v>1495</v>
      </c>
      <c r="F230" s="14"/>
      <c r="G230" s="1"/>
      <c r="J230" s="13"/>
    </row>
    <row r="231" spans="1:10" ht="80.25" customHeight="1">
      <c r="A231" s="51" t="s">
        <v>900</v>
      </c>
      <c r="B231" s="11" t="s">
        <v>901</v>
      </c>
      <c r="C231" s="67">
        <v>387</v>
      </c>
      <c r="D231" s="122"/>
      <c r="E231" s="122" t="s">
        <v>1495</v>
      </c>
      <c r="F231" s="14"/>
      <c r="G231" s="1"/>
      <c r="J231" s="13"/>
    </row>
    <row r="232" spans="1:10" ht="80.25" customHeight="1">
      <c r="A232" s="51" t="s">
        <v>902</v>
      </c>
      <c r="B232" s="11" t="s">
        <v>903</v>
      </c>
      <c r="C232" s="67">
        <v>1746</v>
      </c>
      <c r="D232" s="122"/>
      <c r="E232" s="122" t="s">
        <v>1495</v>
      </c>
      <c r="F232" s="14"/>
      <c r="G232" s="1"/>
      <c r="J232" s="13"/>
    </row>
    <row r="233" spans="1:10" ht="80.25" customHeight="1">
      <c r="A233" s="51" t="s">
        <v>904</v>
      </c>
      <c r="B233" s="11" t="s">
        <v>905</v>
      </c>
      <c r="C233" s="67">
        <v>433</v>
      </c>
      <c r="D233" s="122"/>
      <c r="E233" s="122" t="s">
        <v>1495</v>
      </c>
      <c r="F233" s="14"/>
      <c r="G233" s="1"/>
      <c r="J233" s="13"/>
    </row>
    <row r="234" spans="1:10" ht="80.25" customHeight="1">
      <c r="A234" s="51" t="s">
        <v>906</v>
      </c>
      <c r="B234" s="11" t="s">
        <v>907</v>
      </c>
      <c r="C234" s="67">
        <v>1324</v>
      </c>
      <c r="D234" s="122"/>
      <c r="E234" s="122" t="s">
        <v>1495</v>
      </c>
      <c r="F234" s="14"/>
      <c r="G234" s="1"/>
      <c r="J234" s="13"/>
    </row>
    <row r="235" spans="1:10" ht="80.25" customHeight="1">
      <c r="A235" s="51" t="s">
        <v>908</v>
      </c>
      <c r="B235" s="11" t="s">
        <v>909</v>
      </c>
      <c r="C235" s="67">
        <v>2163</v>
      </c>
      <c r="D235" s="122"/>
      <c r="E235" s="122" t="s">
        <v>1495</v>
      </c>
      <c r="F235" s="14"/>
      <c r="G235" s="1"/>
      <c r="J235" s="13"/>
    </row>
    <row r="236" spans="1:10" ht="80.25" customHeight="1">
      <c r="A236" s="51" t="s">
        <v>910</v>
      </c>
      <c r="B236" s="11" t="s">
        <v>911</v>
      </c>
      <c r="C236" s="67">
        <v>1535</v>
      </c>
      <c r="D236" s="119"/>
      <c r="E236" s="119" t="s">
        <v>1495</v>
      </c>
      <c r="F236" s="14"/>
      <c r="G236" s="1"/>
      <c r="J236" s="13"/>
    </row>
    <row r="237" spans="1:10" ht="80.25" customHeight="1">
      <c r="A237" s="51" t="s">
        <v>912</v>
      </c>
      <c r="B237" s="11" t="s">
        <v>913</v>
      </c>
      <c r="C237" s="67">
        <v>1396</v>
      </c>
      <c r="D237" s="119"/>
      <c r="E237" s="119" t="s">
        <v>1495</v>
      </c>
      <c r="F237" s="14"/>
      <c r="G237" s="1"/>
      <c r="J237" s="13"/>
    </row>
    <row r="238" spans="1:10" ht="80.25" customHeight="1">
      <c r="A238" s="51" t="s">
        <v>914</v>
      </c>
      <c r="B238" s="11" t="s">
        <v>915</v>
      </c>
      <c r="C238" s="67">
        <v>1103</v>
      </c>
      <c r="D238" s="119"/>
      <c r="E238" s="119" t="s">
        <v>1495</v>
      </c>
      <c r="F238" s="14"/>
      <c r="G238" s="1"/>
      <c r="J238" s="13"/>
    </row>
    <row r="239" spans="1:10" ht="80.25" customHeight="1">
      <c r="A239" s="51" t="s">
        <v>916</v>
      </c>
      <c r="B239" s="11" t="s">
        <v>917</v>
      </c>
      <c r="C239" s="67">
        <v>1638</v>
      </c>
      <c r="D239" s="119"/>
      <c r="E239" s="119" t="s">
        <v>1495</v>
      </c>
      <c r="F239" s="14"/>
      <c r="G239" s="1"/>
      <c r="J239" s="13"/>
    </row>
    <row r="240" spans="1:10" ht="80.25" customHeight="1">
      <c r="A240" s="51" t="s">
        <v>918</v>
      </c>
      <c r="B240" s="11" t="s">
        <v>919</v>
      </c>
      <c r="C240" s="67">
        <v>1834</v>
      </c>
      <c r="D240" s="119"/>
      <c r="E240" s="119" t="s">
        <v>1495</v>
      </c>
      <c r="F240" s="14"/>
      <c r="G240" s="1"/>
      <c r="J240" s="13"/>
    </row>
    <row r="241" spans="1:10" ht="80.25" customHeight="1">
      <c r="A241" s="51" t="s">
        <v>920</v>
      </c>
      <c r="B241" s="11" t="s">
        <v>921</v>
      </c>
      <c r="C241" s="67">
        <v>1937</v>
      </c>
      <c r="D241" s="119"/>
      <c r="E241" s="119" t="s">
        <v>1495</v>
      </c>
      <c r="F241" s="14"/>
      <c r="G241" s="1"/>
      <c r="J241" s="13"/>
    </row>
    <row r="242" spans="1:10" ht="80.25" customHeight="1">
      <c r="A242" s="51" t="s">
        <v>922</v>
      </c>
      <c r="B242" s="11" t="s">
        <v>923</v>
      </c>
      <c r="C242" s="67">
        <v>2107</v>
      </c>
      <c r="D242" s="130"/>
      <c r="E242" s="130" t="s">
        <v>1495</v>
      </c>
      <c r="F242" s="14"/>
      <c r="G242" s="1"/>
      <c r="J242" s="13"/>
    </row>
    <row r="243" spans="1:10" ht="80.25" customHeight="1">
      <c r="A243" s="51" t="s">
        <v>924</v>
      </c>
      <c r="B243" s="11" t="s">
        <v>925</v>
      </c>
      <c r="C243" s="67">
        <v>794</v>
      </c>
      <c r="D243" s="130"/>
      <c r="E243" s="130" t="s">
        <v>1495</v>
      </c>
      <c r="F243" s="14"/>
      <c r="G243" s="1"/>
      <c r="J243" s="13"/>
    </row>
    <row r="244" spans="1:10" ht="80.25" customHeight="1">
      <c r="A244" s="51" t="s">
        <v>926</v>
      </c>
      <c r="B244" s="11" t="s">
        <v>927</v>
      </c>
      <c r="C244" s="67">
        <v>629</v>
      </c>
      <c r="D244" s="130"/>
      <c r="E244" s="130" t="s">
        <v>1495</v>
      </c>
      <c r="F244" s="14"/>
      <c r="G244" s="1"/>
      <c r="J244" s="13"/>
    </row>
    <row r="245" spans="1:10" ht="80.25" customHeight="1">
      <c r="A245" s="51" t="s">
        <v>928</v>
      </c>
      <c r="B245" s="11" t="s">
        <v>760</v>
      </c>
      <c r="C245" s="67">
        <v>-412</v>
      </c>
      <c r="D245" s="130"/>
      <c r="E245" s="130" t="s">
        <v>1495</v>
      </c>
      <c r="F245" s="14"/>
      <c r="G245" s="1"/>
      <c r="J245" s="13"/>
    </row>
    <row r="246" spans="1:10" ht="80.25" customHeight="1">
      <c r="A246" s="51" t="s">
        <v>929</v>
      </c>
      <c r="B246" s="11" t="s">
        <v>930</v>
      </c>
      <c r="C246" s="67">
        <v>361</v>
      </c>
      <c r="D246" s="52"/>
      <c r="E246" s="119" t="s">
        <v>1495</v>
      </c>
      <c r="F246" s="14"/>
      <c r="G246" s="1"/>
      <c r="J246" s="13"/>
    </row>
    <row r="247" spans="1:10" ht="80.25" customHeight="1">
      <c r="A247" s="51" t="s">
        <v>931</v>
      </c>
      <c r="B247" s="11" t="s">
        <v>932</v>
      </c>
      <c r="C247" s="67">
        <v>665</v>
      </c>
      <c r="D247" s="119"/>
      <c r="E247" s="119" t="s">
        <v>1495</v>
      </c>
      <c r="F247" s="14"/>
      <c r="G247" s="1"/>
      <c r="J247" s="13"/>
    </row>
    <row r="248" spans="1:10" ht="80.25" customHeight="1">
      <c r="A248" s="11" t="s">
        <v>933</v>
      </c>
      <c r="B248" s="11" t="s">
        <v>934</v>
      </c>
      <c r="C248" s="67">
        <v>418</v>
      </c>
      <c r="D248" s="119"/>
      <c r="E248" s="119" t="s">
        <v>1495</v>
      </c>
      <c r="F248" s="14"/>
      <c r="G248" s="1"/>
      <c r="J248" s="13"/>
    </row>
    <row r="249" spans="1:10" ht="80.25" customHeight="1">
      <c r="A249" s="11" t="s">
        <v>935</v>
      </c>
      <c r="B249" s="11" t="s">
        <v>936</v>
      </c>
      <c r="C249" s="67">
        <v>1901</v>
      </c>
      <c r="D249" s="119"/>
      <c r="E249" s="119" t="s">
        <v>1495</v>
      </c>
      <c r="F249" s="14"/>
      <c r="G249" s="1"/>
      <c r="J249" s="13"/>
    </row>
    <row r="250" spans="1:10" ht="80.25" customHeight="1">
      <c r="A250" s="11" t="s">
        <v>937</v>
      </c>
      <c r="B250" s="11" t="s">
        <v>938</v>
      </c>
      <c r="C250" s="67">
        <v>1484</v>
      </c>
      <c r="D250" s="119"/>
      <c r="E250" s="119" t="s">
        <v>1495</v>
      </c>
      <c r="F250" s="14"/>
      <c r="G250" s="1"/>
      <c r="J250" s="13"/>
    </row>
    <row r="251" spans="1:10" ht="80.25" customHeight="1">
      <c r="A251" s="51" t="s">
        <v>939</v>
      </c>
      <c r="B251" s="11" t="s">
        <v>940</v>
      </c>
      <c r="C251" s="67">
        <v>3219</v>
      </c>
      <c r="D251" s="119"/>
      <c r="E251" s="119" t="s">
        <v>1495</v>
      </c>
      <c r="F251" s="14"/>
      <c r="G251" s="1"/>
      <c r="J251" s="13"/>
    </row>
    <row r="252" spans="1:10" s="53" customFormat="1" ht="80.25" customHeight="1">
      <c r="A252" s="51" t="s">
        <v>941</v>
      </c>
      <c r="B252" s="11" t="s">
        <v>942</v>
      </c>
      <c r="C252" s="67">
        <v>2431</v>
      </c>
      <c r="D252" s="55"/>
      <c r="E252" s="119" t="s">
        <v>1495</v>
      </c>
      <c r="F252" s="14"/>
      <c r="G252" s="1"/>
      <c r="H252" s="1"/>
      <c r="I252" s="1"/>
      <c r="J252" s="13"/>
    </row>
    <row r="253" spans="1:10" s="53" customFormat="1" ht="80.25" customHeight="1">
      <c r="A253" s="51" t="s">
        <v>943</v>
      </c>
      <c r="B253" s="11" t="s">
        <v>944</v>
      </c>
      <c r="C253" s="67">
        <v>454</v>
      </c>
      <c r="D253" s="119"/>
      <c r="E253" s="119" t="s">
        <v>1495</v>
      </c>
      <c r="F253" s="14"/>
      <c r="G253" s="1"/>
      <c r="H253" s="1"/>
      <c r="I253" s="1"/>
      <c r="J253" s="13"/>
    </row>
    <row r="254" spans="1:10" s="53" customFormat="1" ht="80.25" customHeight="1">
      <c r="A254" s="51" t="s">
        <v>945</v>
      </c>
      <c r="B254" s="11" t="s">
        <v>946</v>
      </c>
      <c r="C254" s="67">
        <v>243</v>
      </c>
      <c r="D254" s="119"/>
      <c r="E254" s="119" t="s">
        <v>1495</v>
      </c>
      <c r="F254" s="14"/>
      <c r="G254" s="1"/>
      <c r="H254" s="1"/>
      <c r="I254" s="1"/>
      <c r="J254" s="13"/>
    </row>
    <row r="255" spans="1:10" s="53" customFormat="1" ht="80.25" customHeight="1">
      <c r="A255" s="51" t="s">
        <v>947</v>
      </c>
      <c r="B255" s="11" t="s">
        <v>948</v>
      </c>
      <c r="C255" s="67">
        <v>407</v>
      </c>
      <c r="D255" s="119"/>
      <c r="E255" s="120" t="s">
        <v>1495</v>
      </c>
      <c r="F255" s="14"/>
      <c r="G255" s="1"/>
      <c r="H255" s="1"/>
      <c r="I255" s="1"/>
      <c r="J255" s="13"/>
    </row>
    <row r="256" spans="1:10" s="53" customFormat="1" ht="80.25" customHeight="1">
      <c r="A256" s="51" t="s">
        <v>949</v>
      </c>
      <c r="B256" s="11" t="s">
        <v>950</v>
      </c>
      <c r="C256" s="67">
        <v>376</v>
      </c>
      <c r="D256" s="119"/>
      <c r="E256" s="120" t="s">
        <v>1495</v>
      </c>
      <c r="F256" s="14"/>
      <c r="G256" s="1"/>
      <c r="H256" s="1"/>
      <c r="I256" s="1"/>
      <c r="J256" s="13"/>
    </row>
    <row r="257" spans="1:10" s="53" customFormat="1" ht="80.25" customHeight="1">
      <c r="A257" s="51" t="s">
        <v>951</v>
      </c>
      <c r="B257" s="11" t="s">
        <v>952</v>
      </c>
      <c r="C257" s="67">
        <v>608</v>
      </c>
      <c r="D257" s="137"/>
      <c r="E257" s="119" t="s">
        <v>1495</v>
      </c>
      <c r="F257" s="54"/>
      <c r="G257" s="1"/>
      <c r="H257" s="1"/>
      <c r="I257" s="1"/>
      <c r="J257" s="13"/>
    </row>
    <row r="258" spans="1:10" s="53" customFormat="1" ht="80.25" customHeight="1">
      <c r="A258" s="51" t="s">
        <v>953</v>
      </c>
      <c r="B258" s="11" t="s">
        <v>954</v>
      </c>
      <c r="C258" s="67">
        <v>191</v>
      </c>
      <c r="D258" s="100"/>
      <c r="E258" s="119" t="s">
        <v>1495</v>
      </c>
      <c r="F258" s="14"/>
      <c r="G258" s="1"/>
      <c r="H258" s="1"/>
      <c r="I258" s="1"/>
      <c r="J258" s="13"/>
    </row>
    <row r="259" spans="1:10" s="53" customFormat="1" ht="80.25" customHeight="1">
      <c r="A259" s="51" t="s">
        <v>955</v>
      </c>
      <c r="B259" s="11" t="s">
        <v>948</v>
      </c>
      <c r="C259" s="67">
        <v>371</v>
      </c>
      <c r="D259" s="100"/>
      <c r="E259" s="119" t="s">
        <v>1495</v>
      </c>
      <c r="F259" s="14"/>
      <c r="G259" s="1"/>
      <c r="H259" s="1"/>
      <c r="I259" s="1"/>
      <c r="J259" s="13"/>
    </row>
    <row r="260" spans="1:10" s="53" customFormat="1" ht="80.25" customHeight="1">
      <c r="A260" s="51" t="s">
        <v>956</v>
      </c>
      <c r="B260" s="11" t="s">
        <v>952</v>
      </c>
      <c r="C260" s="67">
        <v>557</v>
      </c>
      <c r="D260" s="100"/>
      <c r="E260" s="119" t="s">
        <v>1495</v>
      </c>
      <c r="F260" s="14"/>
      <c r="G260" s="1"/>
      <c r="H260" s="1"/>
      <c r="I260" s="1"/>
      <c r="J260" s="13"/>
    </row>
    <row r="261" spans="1:10" s="53" customFormat="1" ht="80.25" customHeight="1">
      <c r="A261" s="51" t="s">
        <v>957</v>
      </c>
      <c r="B261" s="11" t="s">
        <v>958</v>
      </c>
      <c r="C261" s="67">
        <v>505</v>
      </c>
      <c r="D261" s="100"/>
      <c r="E261" s="119" t="s">
        <v>1495</v>
      </c>
      <c r="F261" s="14"/>
      <c r="G261" s="1"/>
      <c r="H261" s="1"/>
      <c r="I261" s="1"/>
      <c r="J261" s="13"/>
    </row>
    <row r="262" spans="1:10" s="53" customFormat="1" ht="80.25" customHeight="1">
      <c r="A262" s="51" t="s">
        <v>959</v>
      </c>
      <c r="B262" s="11" t="s">
        <v>960</v>
      </c>
      <c r="C262" s="67">
        <v>608</v>
      </c>
      <c r="D262" s="100"/>
      <c r="E262" s="119" t="s">
        <v>1495</v>
      </c>
      <c r="F262" s="14"/>
      <c r="G262" s="1"/>
      <c r="H262" s="1"/>
      <c r="I262" s="1"/>
      <c r="J262" s="13"/>
    </row>
    <row r="263" spans="1:10" s="53" customFormat="1" ht="80.25" customHeight="1">
      <c r="A263" s="51" t="s">
        <v>961</v>
      </c>
      <c r="B263" s="11" t="s">
        <v>962</v>
      </c>
      <c r="C263" s="67">
        <v>696</v>
      </c>
      <c r="D263" s="100"/>
      <c r="E263" s="119" t="s">
        <v>1495</v>
      </c>
      <c r="F263" s="14"/>
      <c r="G263" s="1"/>
      <c r="H263" s="1"/>
      <c r="I263" s="1"/>
      <c r="J263" s="13"/>
    </row>
    <row r="264" spans="1:10" s="53" customFormat="1" ht="80.25" customHeight="1">
      <c r="A264" s="51" t="s">
        <v>963</v>
      </c>
      <c r="B264" s="11" t="s">
        <v>964</v>
      </c>
      <c r="C264" s="67">
        <v>608</v>
      </c>
      <c r="D264" s="100"/>
      <c r="E264" s="119" t="s">
        <v>1495</v>
      </c>
      <c r="F264" s="14"/>
      <c r="G264" s="1"/>
      <c r="H264" s="1"/>
      <c r="I264" s="1"/>
      <c r="J264" s="13"/>
    </row>
    <row r="265" spans="1:10" s="53" customFormat="1" ht="80.25" customHeight="1">
      <c r="A265" s="51" t="s">
        <v>965</v>
      </c>
      <c r="B265" s="11" t="s">
        <v>966</v>
      </c>
      <c r="C265" s="67">
        <v>433</v>
      </c>
      <c r="D265" s="122"/>
      <c r="E265" s="122" t="s">
        <v>1495</v>
      </c>
      <c r="F265" s="14"/>
      <c r="G265" s="1"/>
      <c r="H265" s="1"/>
      <c r="I265" s="1"/>
      <c r="J265" s="13"/>
    </row>
    <row r="266" spans="1:10" s="53" customFormat="1" ht="80.25" customHeight="1">
      <c r="A266" s="51" t="s">
        <v>967</v>
      </c>
      <c r="B266" s="64" t="s">
        <v>968</v>
      </c>
      <c r="C266" s="67">
        <v>598</v>
      </c>
      <c r="D266" s="119"/>
      <c r="E266" s="138" t="s">
        <v>1495</v>
      </c>
      <c r="F266" s="14"/>
      <c r="G266" s="1"/>
      <c r="H266" s="1"/>
      <c r="I266" s="1"/>
      <c r="J266" s="13"/>
    </row>
    <row r="267" spans="1:10" s="53" customFormat="1" ht="80.25" customHeight="1">
      <c r="A267" s="51" t="s">
        <v>969</v>
      </c>
      <c r="B267" s="11" t="s">
        <v>970</v>
      </c>
      <c r="C267" s="67">
        <v>675</v>
      </c>
      <c r="D267" s="119"/>
      <c r="E267" s="138" t="s">
        <v>1495</v>
      </c>
      <c r="F267" s="14"/>
      <c r="G267" s="1"/>
      <c r="H267" s="1"/>
      <c r="I267" s="1"/>
      <c r="J267" s="13"/>
    </row>
    <row r="268" spans="1:10" ht="80.25" customHeight="1">
      <c r="A268" s="51" t="s">
        <v>971</v>
      </c>
      <c r="B268" s="11" t="s">
        <v>972</v>
      </c>
      <c r="C268" s="87" t="s">
        <v>758</v>
      </c>
      <c r="D268" s="119"/>
      <c r="E268" s="138" t="s">
        <v>1495</v>
      </c>
      <c r="F268" s="14"/>
      <c r="G268" s="1"/>
      <c r="J268" s="13"/>
    </row>
    <row r="269" spans="1:10" ht="80.25" customHeight="1">
      <c r="A269" s="51" t="s">
        <v>973</v>
      </c>
      <c r="B269" s="11" t="s">
        <v>974</v>
      </c>
      <c r="C269" s="67">
        <v>325</v>
      </c>
      <c r="D269" s="119"/>
      <c r="E269" s="138" t="s">
        <v>1495</v>
      </c>
      <c r="F269" s="14"/>
      <c r="G269" s="1"/>
      <c r="J269" s="13"/>
    </row>
    <row r="270" spans="1:10" ht="80.25" customHeight="1">
      <c r="A270" s="51" t="s">
        <v>975</v>
      </c>
      <c r="B270" s="11" t="s">
        <v>976</v>
      </c>
      <c r="C270" s="67">
        <v>490</v>
      </c>
      <c r="D270" s="119"/>
      <c r="E270" s="138" t="s">
        <v>1495</v>
      </c>
      <c r="F270" s="14"/>
      <c r="G270" s="1"/>
      <c r="J270" s="13"/>
    </row>
    <row r="271" spans="1:10" ht="80.25" customHeight="1">
      <c r="A271" s="68" t="s">
        <v>977</v>
      </c>
      <c r="B271" s="69" t="s">
        <v>978</v>
      </c>
      <c r="C271" s="67">
        <v>598</v>
      </c>
      <c r="D271" s="119"/>
      <c r="E271" s="138" t="s">
        <v>1495</v>
      </c>
      <c r="F271" s="14"/>
      <c r="G271" s="1"/>
      <c r="J271" s="13"/>
    </row>
    <row r="272" spans="1:10" ht="80.25" customHeight="1">
      <c r="A272" s="68" t="s">
        <v>979</v>
      </c>
      <c r="B272" s="69" t="s">
        <v>980</v>
      </c>
      <c r="C272" s="67">
        <v>1190</v>
      </c>
      <c r="D272" s="119"/>
      <c r="E272" s="138" t="s">
        <v>1495</v>
      </c>
      <c r="F272" s="14"/>
      <c r="G272" s="1"/>
      <c r="J272" s="13"/>
    </row>
    <row r="273" spans="1:10" ht="80.25" customHeight="1">
      <c r="A273" s="68" t="s">
        <v>981</v>
      </c>
      <c r="B273" s="69" t="s">
        <v>982</v>
      </c>
      <c r="C273" s="67">
        <v>433</v>
      </c>
      <c r="D273" s="119"/>
      <c r="E273" s="138" t="s">
        <v>1495</v>
      </c>
      <c r="F273" s="14"/>
      <c r="G273" s="1"/>
      <c r="J273" s="13"/>
    </row>
    <row r="274" spans="1:10" ht="80.25" customHeight="1">
      <c r="A274" s="68" t="s">
        <v>983</v>
      </c>
      <c r="B274" s="69" t="s">
        <v>984</v>
      </c>
      <c r="C274" s="67">
        <v>866</v>
      </c>
      <c r="D274" s="119"/>
      <c r="E274" s="138" t="s">
        <v>1495</v>
      </c>
      <c r="F274" s="14"/>
      <c r="G274" s="1"/>
      <c r="J274" s="13"/>
    </row>
    <row r="275" spans="1:10" ht="80.25" customHeight="1">
      <c r="A275" s="51" t="s">
        <v>985</v>
      </c>
      <c r="B275" s="11" t="s">
        <v>986</v>
      </c>
      <c r="C275" s="67">
        <v>634</v>
      </c>
      <c r="D275" s="119"/>
      <c r="E275" s="138" t="s">
        <v>1495</v>
      </c>
      <c r="F275" s="14"/>
      <c r="G275" s="1"/>
      <c r="J275" s="13"/>
    </row>
    <row r="276" spans="1:10" ht="80.25" customHeight="1">
      <c r="A276" s="51" t="s">
        <v>987</v>
      </c>
      <c r="B276" s="11" t="s">
        <v>988</v>
      </c>
      <c r="C276" s="67">
        <v>546</v>
      </c>
      <c r="D276" s="119"/>
      <c r="E276" s="138" t="s">
        <v>1495</v>
      </c>
      <c r="F276" s="14"/>
      <c r="G276" s="1"/>
      <c r="J276" s="13"/>
    </row>
    <row r="277" spans="1:10" ht="80.25" customHeight="1">
      <c r="A277" s="51" t="s">
        <v>989</v>
      </c>
      <c r="B277" s="11" t="s">
        <v>990</v>
      </c>
      <c r="C277" s="67">
        <v>989</v>
      </c>
      <c r="D277" s="119"/>
      <c r="E277" s="138" t="s">
        <v>1495</v>
      </c>
      <c r="F277" s="14"/>
      <c r="G277" s="1"/>
      <c r="J277" s="13"/>
    </row>
    <row r="278" spans="1:10" ht="80.25" customHeight="1">
      <c r="A278" s="51" t="s">
        <v>991</v>
      </c>
      <c r="B278" s="11" t="s">
        <v>992</v>
      </c>
      <c r="C278" s="67">
        <v>490</v>
      </c>
      <c r="D278" s="119"/>
      <c r="E278" s="138" t="s">
        <v>1495</v>
      </c>
      <c r="F278" s="14"/>
      <c r="G278" s="1"/>
      <c r="J278" s="13"/>
    </row>
    <row r="279" spans="1:10" ht="80.25" customHeight="1">
      <c r="A279" s="51" t="s">
        <v>993</v>
      </c>
      <c r="B279" s="11" t="s">
        <v>994</v>
      </c>
      <c r="C279" s="67">
        <v>88</v>
      </c>
      <c r="D279" s="119"/>
      <c r="E279" s="138" t="s">
        <v>1495</v>
      </c>
      <c r="F279" s="14"/>
      <c r="G279" s="1"/>
      <c r="J279" s="13"/>
    </row>
    <row r="280" spans="1:10" ht="80.25" customHeight="1">
      <c r="A280" s="68" t="s">
        <v>995</v>
      </c>
      <c r="B280" s="70" t="s">
        <v>996</v>
      </c>
      <c r="C280" s="67">
        <v>387</v>
      </c>
      <c r="D280" s="119"/>
      <c r="E280" s="138" t="s">
        <v>1495</v>
      </c>
      <c r="F280" s="14"/>
      <c r="G280" s="1"/>
      <c r="J280" s="13"/>
    </row>
    <row r="281" spans="1:10" ht="80.25" customHeight="1">
      <c r="A281" s="51" t="s">
        <v>997</v>
      </c>
      <c r="B281" s="11" t="s">
        <v>998</v>
      </c>
      <c r="C281" s="67">
        <v>284</v>
      </c>
      <c r="D281" s="119"/>
      <c r="E281" s="138" t="s">
        <v>1495</v>
      </c>
      <c r="F281" s="14"/>
      <c r="G281" s="1"/>
      <c r="J281" s="13"/>
    </row>
    <row r="282" spans="1:10" ht="80.25" customHeight="1">
      <c r="A282" s="51" t="s">
        <v>999</v>
      </c>
      <c r="B282" s="11" t="s">
        <v>1000</v>
      </c>
      <c r="C282" s="67">
        <v>237</v>
      </c>
      <c r="D282" s="119"/>
      <c r="E282" s="138" t="s">
        <v>1495</v>
      </c>
      <c r="F282" s="14"/>
      <c r="G282" s="1"/>
      <c r="J282" s="13"/>
    </row>
    <row r="283" spans="1:10" ht="80.25" customHeight="1">
      <c r="A283" s="51" t="s">
        <v>1001</v>
      </c>
      <c r="B283" s="11" t="s">
        <v>1002</v>
      </c>
      <c r="C283" s="67">
        <v>217</v>
      </c>
      <c r="D283" s="119"/>
      <c r="E283" s="138" t="s">
        <v>1495</v>
      </c>
      <c r="F283" s="14"/>
      <c r="G283" s="1"/>
      <c r="J283" s="13"/>
    </row>
    <row r="284" spans="1:10" ht="80.25" customHeight="1">
      <c r="A284" s="51" t="s">
        <v>1003</v>
      </c>
      <c r="B284" s="11" t="s">
        <v>1004</v>
      </c>
      <c r="C284" s="67">
        <v>88</v>
      </c>
      <c r="D284" s="119"/>
      <c r="E284" s="138" t="s">
        <v>1495</v>
      </c>
      <c r="F284" s="14"/>
      <c r="G284" s="1"/>
      <c r="J284" s="13"/>
    </row>
    <row r="285" spans="1:10" ht="80.25" customHeight="1">
      <c r="A285" s="51" t="s">
        <v>1005</v>
      </c>
      <c r="B285" s="11" t="s">
        <v>1006</v>
      </c>
      <c r="C285" s="67">
        <v>454</v>
      </c>
      <c r="D285" s="119"/>
      <c r="E285" s="138" t="s">
        <v>1495</v>
      </c>
      <c r="F285" s="14"/>
      <c r="G285" s="1"/>
      <c r="J285" s="13"/>
    </row>
    <row r="286" spans="1:10" ht="80.25" customHeight="1">
      <c r="A286" s="72" t="s">
        <v>1007</v>
      </c>
      <c r="B286" s="70" t="s">
        <v>1008</v>
      </c>
      <c r="C286" s="67">
        <v>608</v>
      </c>
      <c r="D286" s="119"/>
      <c r="E286" s="138" t="s">
        <v>1495</v>
      </c>
      <c r="F286" s="14"/>
      <c r="G286" s="1"/>
      <c r="J286" s="13"/>
    </row>
    <row r="287" spans="1:10" ht="80.25" customHeight="1">
      <c r="A287" s="73" t="s">
        <v>1009</v>
      </c>
      <c r="B287" s="64" t="s">
        <v>1010</v>
      </c>
      <c r="C287" s="67">
        <v>361</v>
      </c>
      <c r="D287" s="119"/>
      <c r="E287" s="138" t="s">
        <v>1495</v>
      </c>
      <c r="F287" s="14"/>
      <c r="G287" s="1"/>
      <c r="J287" s="13"/>
    </row>
    <row r="288" spans="1:10" ht="80.25" customHeight="1">
      <c r="A288" s="72" t="s">
        <v>1011</v>
      </c>
      <c r="B288" s="70" t="s">
        <v>1012</v>
      </c>
      <c r="C288" s="74" t="s">
        <v>758</v>
      </c>
      <c r="D288" s="119"/>
      <c r="E288" s="138" t="s">
        <v>1495</v>
      </c>
      <c r="F288" s="14"/>
      <c r="G288" s="1"/>
      <c r="J288" s="13"/>
    </row>
    <row r="289" spans="1:10" ht="80.25" customHeight="1">
      <c r="A289" s="51" t="s">
        <v>1013</v>
      </c>
      <c r="B289" s="11" t="s">
        <v>1014</v>
      </c>
      <c r="C289" s="67">
        <v>2503</v>
      </c>
      <c r="D289" s="119"/>
      <c r="E289" s="138" t="s">
        <v>1495</v>
      </c>
      <c r="F289" s="14"/>
      <c r="G289" s="1"/>
      <c r="J289" s="13"/>
    </row>
    <row r="290" spans="1:10" ht="80.25" customHeight="1">
      <c r="A290" s="51" t="s">
        <v>1015</v>
      </c>
      <c r="B290" s="11" t="s">
        <v>1016</v>
      </c>
      <c r="C290" s="67">
        <v>1911</v>
      </c>
      <c r="D290" s="119"/>
      <c r="E290" s="138" t="s">
        <v>1495</v>
      </c>
      <c r="F290" s="14"/>
      <c r="G290" s="1"/>
      <c r="J290" s="13"/>
    </row>
    <row r="291" spans="1:10" ht="80.25" customHeight="1">
      <c r="A291" s="11" t="s">
        <v>1017</v>
      </c>
      <c r="B291" s="11" t="s">
        <v>1018</v>
      </c>
      <c r="C291" s="67">
        <v>109</v>
      </c>
      <c r="D291" s="133"/>
      <c r="E291" s="138" t="s">
        <v>1495</v>
      </c>
      <c r="F291" s="14"/>
      <c r="G291" s="1"/>
      <c r="J291" s="13"/>
    </row>
    <row r="292" spans="1:10" ht="80.25" customHeight="1">
      <c r="A292" s="11" t="s">
        <v>1019</v>
      </c>
      <c r="B292" s="11" t="s">
        <v>809</v>
      </c>
      <c r="C292" s="67">
        <v>335</v>
      </c>
      <c r="D292" s="119"/>
      <c r="E292" s="138" t="s">
        <v>1495</v>
      </c>
      <c r="F292" s="14"/>
      <c r="G292" s="1"/>
      <c r="J292" s="13"/>
    </row>
    <row r="293" spans="1:10" ht="80.25" customHeight="1">
      <c r="A293" s="51" t="s">
        <v>1020</v>
      </c>
      <c r="B293" s="11" t="s">
        <v>1021</v>
      </c>
      <c r="C293" s="67">
        <v>52</v>
      </c>
      <c r="D293" s="119"/>
      <c r="E293" s="138" t="s">
        <v>1495</v>
      </c>
      <c r="F293" s="14"/>
      <c r="G293" s="1"/>
      <c r="J293" s="13"/>
    </row>
    <row r="294" spans="1:10" ht="80.25" customHeight="1">
      <c r="A294" s="51" t="s">
        <v>1022</v>
      </c>
      <c r="B294" s="11" t="s">
        <v>813</v>
      </c>
      <c r="C294" s="67">
        <v>93</v>
      </c>
      <c r="D294" s="119"/>
      <c r="E294" s="138" t="s">
        <v>1495</v>
      </c>
      <c r="F294" s="14"/>
      <c r="G294" s="1"/>
      <c r="J294" s="13"/>
    </row>
    <row r="295" spans="1:10" ht="80.25" customHeight="1">
      <c r="A295" s="51" t="s">
        <v>1023</v>
      </c>
      <c r="B295" s="11" t="s">
        <v>1024</v>
      </c>
      <c r="C295" s="67">
        <v>346</v>
      </c>
      <c r="D295" s="119"/>
      <c r="E295" s="138" t="s">
        <v>1495</v>
      </c>
      <c r="F295" s="14"/>
      <c r="G295" s="1"/>
      <c r="J295" s="13"/>
    </row>
    <row r="296" spans="1:10" ht="80.25" customHeight="1">
      <c r="A296" s="51" t="s">
        <v>1025</v>
      </c>
      <c r="B296" s="11" t="s">
        <v>1026</v>
      </c>
      <c r="C296" s="67">
        <v>52</v>
      </c>
      <c r="D296" s="119"/>
      <c r="E296" s="138" t="s">
        <v>1495</v>
      </c>
      <c r="F296" s="14"/>
      <c r="G296" s="1"/>
      <c r="J296" s="13"/>
    </row>
    <row r="297" spans="1:10" ht="80.25" customHeight="1">
      <c r="A297" s="51" t="s">
        <v>1027</v>
      </c>
      <c r="B297" s="64" t="s">
        <v>1028</v>
      </c>
      <c r="C297" s="67">
        <v>2014</v>
      </c>
      <c r="D297" s="119"/>
      <c r="E297" s="138" t="s">
        <v>1495</v>
      </c>
      <c r="F297" s="14"/>
      <c r="G297" s="1"/>
      <c r="J297" s="13"/>
    </row>
    <row r="298" spans="1:10" ht="80.25" customHeight="1">
      <c r="A298" s="51" t="s">
        <v>1029</v>
      </c>
      <c r="B298" s="64" t="s">
        <v>1030</v>
      </c>
      <c r="C298" s="67">
        <v>2133</v>
      </c>
      <c r="D298" s="119"/>
      <c r="E298" s="138" t="s">
        <v>1495</v>
      </c>
      <c r="F298" s="14"/>
      <c r="G298" s="1"/>
      <c r="J298" s="13"/>
    </row>
    <row r="299" spans="1:10" ht="80.25" customHeight="1">
      <c r="A299" s="51" t="s">
        <v>1031</v>
      </c>
      <c r="B299" s="64" t="s">
        <v>823</v>
      </c>
      <c r="C299" s="67">
        <v>232</v>
      </c>
      <c r="D299" s="119"/>
      <c r="E299" s="138" t="s">
        <v>1495</v>
      </c>
      <c r="F299" s="14"/>
      <c r="G299" s="1"/>
      <c r="J299" s="13"/>
    </row>
    <row r="300" spans="1:10" ht="80.25" customHeight="1">
      <c r="A300" s="51" t="s">
        <v>1032</v>
      </c>
      <c r="B300" s="11" t="s">
        <v>1033</v>
      </c>
      <c r="C300" s="67">
        <v>289</v>
      </c>
      <c r="D300" s="119"/>
      <c r="E300" s="138" t="s">
        <v>1495</v>
      </c>
      <c r="F300" s="14"/>
      <c r="G300" s="1"/>
      <c r="J300" s="13"/>
    </row>
    <row r="301" spans="1:10" ht="80.25" customHeight="1">
      <c r="A301" s="51" t="s">
        <v>1034</v>
      </c>
      <c r="B301" s="11" t="s">
        <v>827</v>
      </c>
      <c r="C301" s="67">
        <v>1170</v>
      </c>
      <c r="D301" s="119"/>
      <c r="E301" s="138" t="s">
        <v>1495</v>
      </c>
      <c r="F301" s="14"/>
      <c r="G301" s="1"/>
      <c r="J301" s="13"/>
    </row>
    <row r="302" spans="1:10" ht="80.25" customHeight="1">
      <c r="A302" s="51" t="s">
        <v>1035</v>
      </c>
      <c r="B302" s="11" t="s">
        <v>1036</v>
      </c>
      <c r="C302" s="67">
        <v>1267</v>
      </c>
      <c r="D302" s="119"/>
      <c r="E302" s="138" t="s">
        <v>1495</v>
      </c>
      <c r="F302" s="14"/>
      <c r="G302" s="1"/>
      <c r="J302" s="13"/>
    </row>
    <row r="303" spans="1:10" ht="80.25" customHeight="1">
      <c r="A303" s="51" t="s">
        <v>1037</v>
      </c>
      <c r="B303" s="11" t="s">
        <v>831</v>
      </c>
      <c r="C303" s="67">
        <v>1494</v>
      </c>
      <c r="D303" s="119"/>
      <c r="E303" s="138" t="s">
        <v>1495</v>
      </c>
      <c r="F303" s="14"/>
      <c r="G303" s="1"/>
      <c r="J303" s="13"/>
    </row>
    <row r="304" spans="1:10" ht="80.25" customHeight="1">
      <c r="A304" s="51" t="s">
        <v>1038</v>
      </c>
      <c r="B304" s="11" t="s">
        <v>1039</v>
      </c>
      <c r="C304" s="67">
        <v>1623</v>
      </c>
      <c r="D304" s="119"/>
      <c r="E304" s="138" t="s">
        <v>1495</v>
      </c>
      <c r="F304" s="14"/>
      <c r="G304" s="1"/>
      <c r="J304" s="13"/>
    </row>
    <row r="305" spans="1:10" ht="80.25" customHeight="1">
      <c r="A305" s="51" t="s">
        <v>1040</v>
      </c>
      <c r="B305" s="64" t="s">
        <v>1041</v>
      </c>
      <c r="C305" s="67">
        <v>660</v>
      </c>
      <c r="D305" s="119"/>
      <c r="E305" s="138" t="s">
        <v>1495</v>
      </c>
      <c r="F305" s="14"/>
      <c r="G305" s="1"/>
      <c r="J305" s="13"/>
    </row>
    <row r="306" spans="1:10" ht="80.25" customHeight="1">
      <c r="A306" s="51" t="s">
        <v>1042</v>
      </c>
      <c r="B306" s="11" t="s">
        <v>1043</v>
      </c>
      <c r="C306" s="67">
        <v>634</v>
      </c>
      <c r="D306" s="119"/>
      <c r="E306" s="138" t="s">
        <v>1495</v>
      </c>
      <c r="F306" s="56"/>
      <c r="G306" s="1"/>
      <c r="J306" s="13"/>
    </row>
    <row r="307" spans="1:10" ht="80.25" customHeight="1">
      <c r="A307" s="51" t="s">
        <v>1044</v>
      </c>
      <c r="B307" s="11" t="s">
        <v>1045</v>
      </c>
      <c r="C307" s="67">
        <v>721</v>
      </c>
      <c r="D307" s="119"/>
      <c r="E307" s="138" t="s">
        <v>1495</v>
      </c>
      <c r="F307" s="14"/>
      <c r="G307" s="1"/>
      <c r="J307" s="13"/>
    </row>
    <row r="308" spans="1:10" ht="80.25" customHeight="1">
      <c r="A308" s="51" t="s">
        <v>1046</v>
      </c>
      <c r="B308" s="11" t="s">
        <v>1047</v>
      </c>
      <c r="C308" s="67">
        <v>469</v>
      </c>
      <c r="D308" s="119"/>
      <c r="E308" s="138" t="s">
        <v>1495</v>
      </c>
      <c r="F308" s="14"/>
      <c r="G308" s="1"/>
      <c r="J308" s="13"/>
    </row>
    <row r="309" spans="1:10" ht="80.25" customHeight="1">
      <c r="A309" s="51" t="s">
        <v>1048</v>
      </c>
      <c r="B309" s="11" t="s">
        <v>1049</v>
      </c>
      <c r="C309" s="67">
        <v>1324</v>
      </c>
      <c r="D309" s="119"/>
      <c r="E309" s="138" t="s">
        <v>1495</v>
      </c>
      <c r="F309" s="14"/>
      <c r="G309" s="1"/>
      <c r="J309" s="13"/>
    </row>
    <row r="310" spans="1:10" ht="80.25" customHeight="1">
      <c r="A310" s="51" t="s">
        <v>1050</v>
      </c>
      <c r="B310" s="11" t="s">
        <v>1051</v>
      </c>
      <c r="C310" s="67">
        <v>845</v>
      </c>
      <c r="D310" s="119"/>
      <c r="E310" s="138" t="s">
        <v>1495</v>
      </c>
      <c r="F310" s="14"/>
      <c r="G310" s="1"/>
      <c r="J310" s="13"/>
    </row>
    <row r="311" spans="1:10" ht="80.25" customHeight="1">
      <c r="A311" s="51" t="s">
        <v>1052</v>
      </c>
      <c r="B311" s="11" t="s">
        <v>1053</v>
      </c>
      <c r="C311" s="67">
        <v>1133</v>
      </c>
      <c r="D311" s="119"/>
      <c r="E311" s="138" t="s">
        <v>1495</v>
      </c>
      <c r="F311" s="14"/>
      <c r="G311" s="1"/>
      <c r="J311" s="13"/>
    </row>
    <row r="312" spans="1:10" ht="80.25" customHeight="1">
      <c r="A312" s="51" t="s">
        <v>1054</v>
      </c>
      <c r="B312" s="11" t="s">
        <v>1055</v>
      </c>
      <c r="C312" s="67">
        <v>299</v>
      </c>
      <c r="D312" s="119"/>
      <c r="E312" s="138" t="s">
        <v>1495</v>
      </c>
      <c r="F312" s="14"/>
      <c r="G312" s="1"/>
      <c r="J312" s="13"/>
    </row>
    <row r="313" spans="1:10" ht="80.25" customHeight="1">
      <c r="A313" s="51" t="s">
        <v>1056</v>
      </c>
      <c r="B313" s="11" t="s">
        <v>1057</v>
      </c>
      <c r="C313" s="67">
        <v>685</v>
      </c>
      <c r="D313" s="119"/>
      <c r="E313" s="138" t="s">
        <v>1495</v>
      </c>
      <c r="F313" s="14"/>
      <c r="G313" s="1"/>
      <c r="J313" s="13"/>
    </row>
    <row r="314" spans="1:10" ht="80.25" customHeight="1">
      <c r="A314" s="69" t="s">
        <v>1058</v>
      </c>
      <c r="B314" s="69" t="s">
        <v>1059</v>
      </c>
      <c r="C314" s="67">
        <v>685</v>
      </c>
      <c r="D314" s="119"/>
      <c r="E314" s="138" t="s">
        <v>1495</v>
      </c>
      <c r="F314" s="14"/>
      <c r="G314" s="1"/>
      <c r="J314" s="13"/>
    </row>
    <row r="315" spans="1:10" ht="80.25" customHeight="1">
      <c r="A315" s="68" t="s">
        <v>1060</v>
      </c>
      <c r="B315" s="69" t="s">
        <v>1061</v>
      </c>
      <c r="C315" s="67">
        <v>346</v>
      </c>
      <c r="D315" s="119"/>
      <c r="E315" s="138" t="s">
        <v>1495</v>
      </c>
      <c r="F315" s="14"/>
      <c r="G315" s="1"/>
      <c r="J315" s="13"/>
    </row>
    <row r="316" spans="1:10" ht="80.25" customHeight="1">
      <c r="A316" s="51" t="s">
        <v>1062</v>
      </c>
      <c r="B316" s="11" t="s">
        <v>1063</v>
      </c>
      <c r="C316" s="67">
        <v>685</v>
      </c>
      <c r="D316" s="55"/>
      <c r="E316" s="138" t="s">
        <v>1495</v>
      </c>
      <c r="F316" s="14"/>
      <c r="G316" s="1"/>
      <c r="J316" s="13"/>
    </row>
    <row r="317" spans="1:10" ht="80.25" customHeight="1">
      <c r="A317" s="69" t="s">
        <v>1064</v>
      </c>
      <c r="B317" s="69" t="s">
        <v>1065</v>
      </c>
      <c r="C317" s="67">
        <v>685</v>
      </c>
      <c r="D317" s="55"/>
      <c r="E317" s="138" t="s">
        <v>1495</v>
      </c>
      <c r="F317" s="14"/>
      <c r="G317" s="1"/>
      <c r="J317" s="13"/>
    </row>
    <row r="318" spans="1:10" ht="80.25" customHeight="1">
      <c r="A318" s="51" t="s">
        <v>1066</v>
      </c>
      <c r="B318" s="11" t="s">
        <v>1067</v>
      </c>
      <c r="C318" s="67">
        <v>186</v>
      </c>
      <c r="D318" s="119"/>
      <c r="E318" s="138" t="s">
        <v>1495</v>
      </c>
      <c r="F318" s="14"/>
      <c r="G318" s="1"/>
      <c r="J318" s="13"/>
    </row>
    <row r="319" spans="1:10" ht="80.25" customHeight="1">
      <c r="A319" s="68" t="s">
        <v>1068</v>
      </c>
      <c r="B319" s="75" t="s">
        <v>1069</v>
      </c>
      <c r="C319" s="67">
        <v>83</v>
      </c>
      <c r="D319" s="119"/>
      <c r="E319" s="104" t="s">
        <v>1495</v>
      </c>
      <c r="F319" s="14"/>
      <c r="G319" s="1"/>
      <c r="J319" s="13"/>
    </row>
    <row r="320" spans="1:10" ht="80.25" customHeight="1">
      <c r="A320" s="51" t="s">
        <v>1070</v>
      </c>
      <c r="B320" s="11" t="s">
        <v>755</v>
      </c>
      <c r="C320" s="67">
        <v>299</v>
      </c>
      <c r="D320" s="119"/>
      <c r="E320" s="119" t="s">
        <v>1495</v>
      </c>
      <c r="F320" s="14"/>
      <c r="G320" s="1"/>
      <c r="J320" s="13"/>
    </row>
    <row r="321" spans="1:10" ht="80.25" customHeight="1">
      <c r="A321" s="51" t="s">
        <v>1071</v>
      </c>
      <c r="B321" s="11" t="s">
        <v>1072</v>
      </c>
      <c r="C321" s="67">
        <v>299</v>
      </c>
      <c r="D321" s="119"/>
      <c r="E321" s="104" t="s">
        <v>1495</v>
      </c>
      <c r="F321" s="14"/>
      <c r="G321" s="1"/>
      <c r="J321" s="13"/>
    </row>
    <row r="322" spans="1:10" ht="80.25" customHeight="1">
      <c r="A322" s="51" t="s">
        <v>1073</v>
      </c>
      <c r="B322" s="11" t="s">
        <v>1074</v>
      </c>
      <c r="C322" s="67">
        <v>706</v>
      </c>
      <c r="D322" s="55"/>
      <c r="E322" s="104" t="s">
        <v>1495</v>
      </c>
      <c r="F322" s="14"/>
      <c r="G322" s="1"/>
      <c r="J322" s="13"/>
    </row>
    <row r="323" spans="1:10" ht="80.25" customHeight="1">
      <c r="A323" s="51" t="s">
        <v>1075</v>
      </c>
      <c r="B323" s="11" t="s">
        <v>1074</v>
      </c>
      <c r="C323" s="67">
        <v>706</v>
      </c>
      <c r="D323" s="55"/>
      <c r="E323" s="104" t="s">
        <v>1495</v>
      </c>
      <c r="F323" s="14"/>
      <c r="G323" s="1"/>
      <c r="J323" s="13"/>
    </row>
    <row r="324" spans="1:10" ht="80.25" customHeight="1">
      <c r="A324" s="51" t="s">
        <v>1076</v>
      </c>
      <c r="B324" s="11" t="s">
        <v>1077</v>
      </c>
      <c r="C324" s="67">
        <v>691</v>
      </c>
      <c r="D324" s="55"/>
      <c r="E324" s="104" t="s">
        <v>1495</v>
      </c>
      <c r="F324" s="14"/>
      <c r="G324" s="1"/>
      <c r="J324" s="13"/>
    </row>
    <row r="325" spans="1:10" ht="80.25" customHeight="1">
      <c r="A325" s="51" t="s">
        <v>1078</v>
      </c>
      <c r="B325" s="11" t="s">
        <v>1079</v>
      </c>
      <c r="C325" s="67">
        <v>47</v>
      </c>
      <c r="D325" s="119"/>
      <c r="E325" s="104" t="s">
        <v>1495</v>
      </c>
      <c r="F325" s="14"/>
      <c r="G325" s="1"/>
      <c r="J325" s="13"/>
    </row>
    <row r="326" spans="1:10" ht="80.25" customHeight="1">
      <c r="A326" s="51" t="s">
        <v>1080</v>
      </c>
      <c r="B326" s="11" t="s">
        <v>1081</v>
      </c>
      <c r="C326" s="67">
        <v>47</v>
      </c>
      <c r="D326" s="119"/>
      <c r="E326" s="104" t="s">
        <v>1495</v>
      </c>
      <c r="F326" s="14"/>
      <c r="G326" s="1"/>
      <c r="J326" s="13"/>
    </row>
    <row r="327" spans="1:10" ht="80.25" customHeight="1">
      <c r="A327" s="51" t="s">
        <v>1082</v>
      </c>
      <c r="B327" s="11" t="s">
        <v>1083</v>
      </c>
      <c r="C327" s="67">
        <v>47</v>
      </c>
      <c r="D327" s="119"/>
      <c r="E327" s="104" t="s">
        <v>1495</v>
      </c>
      <c r="F327" s="14"/>
      <c r="G327" s="1"/>
      <c r="J327" s="13"/>
    </row>
    <row r="328" spans="1:10" ht="80.25" customHeight="1">
      <c r="A328" s="51" t="s">
        <v>1084</v>
      </c>
      <c r="B328" s="11" t="s">
        <v>1085</v>
      </c>
      <c r="C328" s="67">
        <v>47</v>
      </c>
      <c r="D328" s="55"/>
      <c r="E328" s="104" t="s">
        <v>1495</v>
      </c>
      <c r="F328" s="14"/>
      <c r="G328" s="1"/>
      <c r="J328" s="13"/>
    </row>
    <row r="329" spans="1:10" ht="80.25" customHeight="1">
      <c r="A329" s="51" t="s">
        <v>1086</v>
      </c>
      <c r="B329" s="11" t="s">
        <v>1087</v>
      </c>
      <c r="C329" s="67">
        <v>47</v>
      </c>
      <c r="D329" s="120"/>
      <c r="E329" s="104" t="s">
        <v>1495</v>
      </c>
      <c r="F329" s="14"/>
      <c r="G329" s="1"/>
      <c r="J329" s="13"/>
    </row>
    <row r="330" spans="1:10" ht="80.25" customHeight="1">
      <c r="A330" s="51" t="s">
        <v>1088</v>
      </c>
      <c r="B330" s="11" t="s">
        <v>1089</v>
      </c>
      <c r="C330" s="67">
        <v>47</v>
      </c>
      <c r="D330" s="55"/>
      <c r="E330" s="104" t="s">
        <v>1495</v>
      </c>
      <c r="F330" s="14"/>
      <c r="G330" s="1"/>
      <c r="J330" s="13"/>
    </row>
    <row r="331" spans="1:10" ht="80.25" customHeight="1">
      <c r="A331" s="51" t="s">
        <v>1090</v>
      </c>
      <c r="B331" s="64" t="s">
        <v>1089</v>
      </c>
      <c r="C331" s="67">
        <v>47</v>
      </c>
      <c r="D331" s="119"/>
      <c r="E331" s="104" t="s">
        <v>1495</v>
      </c>
      <c r="F331" s="14"/>
      <c r="G331" s="1"/>
      <c r="J331" s="13"/>
    </row>
    <row r="332" spans="1:10" ht="80.25" customHeight="1">
      <c r="A332" s="51" t="s">
        <v>1091</v>
      </c>
      <c r="B332" s="11" t="s">
        <v>1092</v>
      </c>
      <c r="C332" s="67">
        <v>47</v>
      </c>
      <c r="D332" s="119"/>
      <c r="E332" s="104" t="s">
        <v>1495</v>
      </c>
      <c r="F332" s="14"/>
      <c r="G332" s="1"/>
      <c r="J332" s="13"/>
    </row>
    <row r="333" spans="1:10" ht="80.25" customHeight="1">
      <c r="A333" s="51" t="s">
        <v>1093</v>
      </c>
      <c r="B333" s="11" t="s">
        <v>871</v>
      </c>
      <c r="C333" s="67">
        <v>26</v>
      </c>
      <c r="D333" s="91"/>
      <c r="E333" s="91" t="s">
        <v>1495</v>
      </c>
      <c r="F333" s="14"/>
      <c r="G333" s="1"/>
      <c r="J333" s="13"/>
    </row>
    <row r="334" spans="1:10" ht="80.25" customHeight="1">
      <c r="A334" s="51" t="s">
        <v>1094</v>
      </c>
      <c r="B334" s="11" t="s">
        <v>1095</v>
      </c>
      <c r="C334" s="67">
        <v>26</v>
      </c>
      <c r="D334" s="91"/>
      <c r="E334" s="91" t="s">
        <v>1495</v>
      </c>
      <c r="F334" s="14"/>
      <c r="G334" s="1"/>
      <c r="J334" s="13"/>
    </row>
    <row r="335" spans="1:10" ht="80.25" customHeight="1">
      <c r="A335" s="51" t="s">
        <v>1096</v>
      </c>
      <c r="B335" s="11" t="s">
        <v>1097</v>
      </c>
      <c r="C335" s="67">
        <v>217</v>
      </c>
      <c r="D335" s="92"/>
      <c r="E335" s="92" t="s">
        <v>1495</v>
      </c>
      <c r="F335" s="14"/>
      <c r="G335" s="1"/>
      <c r="J335" s="13"/>
    </row>
    <row r="336" spans="1:10" ht="80.25" customHeight="1">
      <c r="A336" s="69" t="s">
        <v>1098</v>
      </c>
      <c r="B336" s="69" t="s">
        <v>1099</v>
      </c>
      <c r="C336" s="67">
        <v>598</v>
      </c>
      <c r="D336" s="92"/>
      <c r="E336" s="92" t="s">
        <v>1495</v>
      </c>
      <c r="F336" s="14"/>
      <c r="G336" s="1"/>
      <c r="J336" s="13"/>
    </row>
    <row r="337" spans="1:10" ht="80.25" customHeight="1">
      <c r="A337" s="11" t="s">
        <v>1100</v>
      </c>
      <c r="B337" s="11" t="s">
        <v>1101</v>
      </c>
      <c r="C337" s="67">
        <v>325</v>
      </c>
      <c r="D337" s="92"/>
      <c r="E337" s="92" t="s">
        <v>1495</v>
      </c>
      <c r="F337" s="14"/>
      <c r="G337" s="1"/>
      <c r="J337" s="13"/>
    </row>
    <row r="338" spans="1:10" ht="80.25" customHeight="1">
      <c r="A338" s="11" t="s">
        <v>1102</v>
      </c>
      <c r="B338" s="11" t="s">
        <v>1103</v>
      </c>
      <c r="C338" s="67">
        <v>212</v>
      </c>
      <c r="D338" s="92"/>
      <c r="E338" s="92" t="s">
        <v>1495</v>
      </c>
      <c r="F338" s="14"/>
      <c r="G338" s="1"/>
      <c r="J338" s="13"/>
    </row>
    <row r="339" spans="1:10" ht="80.25" customHeight="1">
      <c r="A339" s="11" t="s">
        <v>1104</v>
      </c>
      <c r="B339" s="11" t="s">
        <v>1105</v>
      </c>
      <c r="C339" s="67">
        <v>196</v>
      </c>
      <c r="D339" s="92"/>
      <c r="E339" s="92" t="s">
        <v>1495</v>
      </c>
      <c r="F339" s="14"/>
      <c r="G339" s="1"/>
      <c r="J339" s="13"/>
    </row>
    <row r="340" spans="1:10" ht="80.25" customHeight="1">
      <c r="A340" s="11" t="s">
        <v>1106</v>
      </c>
      <c r="B340" s="11" t="s">
        <v>792</v>
      </c>
      <c r="C340" s="67">
        <v>387</v>
      </c>
      <c r="D340" s="92"/>
      <c r="E340" s="92" t="s">
        <v>1495</v>
      </c>
      <c r="F340" s="14"/>
      <c r="G340" s="1"/>
      <c r="J340" s="13"/>
    </row>
    <row r="341" spans="1:10" ht="80.25" customHeight="1">
      <c r="A341" s="11" t="s">
        <v>1107</v>
      </c>
      <c r="B341" s="11" t="s">
        <v>877</v>
      </c>
      <c r="C341" s="67">
        <v>237</v>
      </c>
      <c r="D341" s="92"/>
      <c r="E341" s="92" t="s">
        <v>1495</v>
      </c>
      <c r="F341" s="14"/>
      <c r="G341" s="1"/>
      <c r="J341" s="13"/>
    </row>
    <row r="342" spans="1:10" ht="80.25" customHeight="1">
      <c r="A342" s="11" t="s">
        <v>1108</v>
      </c>
      <c r="B342" s="11" t="s">
        <v>1109</v>
      </c>
      <c r="C342" s="67">
        <v>840</v>
      </c>
      <c r="D342" s="92"/>
      <c r="E342" s="92" t="s">
        <v>1495</v>
      </c>
      <c r="F342" s="14"/>
      <c r="G342" s="1"/>
      <c r="J342" s="13"/>
    </row>
    <row r="343" spans="1:10" ht="80.25" customHeight="1">
      <c r="A343" s="11" t="s">
        <v>1110</v>
      </c>
      <c r="B343" s="11" t="s">
        <v>1111</v>
      </c>
      <c r="C343" s="67">
        <v>263</v>
      </c>
      <c r="D343" s="92"/>
      <c r="E343" s="92" t="s">
        <v>1495</v>
      </c>
      <c r="F343" s="14"/>
      <c r="G343" s="1"/>
      <c r="J343" s="13"/>
    </row>
    <row r="344" spans="1:10" ht="80.25" customHeight="1">
      <c r="A344" s="11" t="s">
        <v>1112</v>
      </c>
      <c r="B344" s="11" t="s">
        <v>1113</v>
      </c>
      <c r="C344" s="67">
        <v>624</v>
      </c>
      <c r="D344" s="91"/>
      <c r="E344" s="91" t="s">
        <v>1495</v>
      </c>
      <c r="F344" s="14"/>
      <c r="G344" s="1"/>
      <c r="J344" s="13"/>
    </row>
    <row r="345" spans="1:10" ht="80.25" customHeight="1">
      <c r="A345" s="11" t="s">
        <v>1114</v>
      </c>
      <c r="B345" s="11" t="s">
        <v>1115</v>
      </c>
      <c r="C345" s="67">
        <v>933</v>
      </c>
      <c r="D345" s="91"/>
      <c r="E345" s="91" t="s">
        <v>1495</v>
      </c>
      <c r="F345" s="14"/>
      <c r="G345" s="1"/>
      <c r="J345" s="13"/>
    </row>
    <row r="346" spans="1:10" ht="80.25" customHeight="1">
      <c r="A346" s="11" t="s">
        <v>1116</v>
      </c>
      <c r="B346" s="11" t="s">
        <v>1117</v>
      </c>
      <c r="C346" s="67">
        <v>1030</v>
      </c>
      <c r="D346" s="92"/>
      <c r="E346" s="92" t="s">
        <v>1495</v>
      </c>
      <c r="F346" s="14"/>
      <c r="G346" s="1"/>
      <c r="J346" s="13"/>
    </row>
    <row r="347" spans="1:10" ht="80.25" customHeight="1">
      <c r="A347" s="11" t="s">
        <v>1118</v>
      </c>
      <c r="B347" s="11" t="s">
        <v>1119</v>
      </c>
      <c r="C347" s="67">
        <v>515</v>
      </c>
      <c r="D347" s="92"/>
      <c r="E347" s="92" t="s">
        <v>1495</v>
      </c>
      <c r="F347" s="14"/>
      <c r="G347" s="1"/>
      <c r="J347" s="13"/>
    </row>
    <row r="348" spans="1:10" ht="80.25" customHeight="1">
      <c r="A348" s="11" t="s">
        <v>1120</v>
      </c>
      <c r="B348" s="11" t="s">
        <v>1121</v>
      </c>
      <c r="C348" s="67">
        <v>907</v>
      </c>
      <c r="D348" s="92"/>
      <c r="E348" s="92" t="s">
        <v>1495</v>
      </c>
      <c r="F348" s="14"/>
      <c r="G348" s="1"/>
      <c r="J348" s="13"/>
    </row>
    <row r="349" spans="1:10" ht="80.25" customHeight="1">
      <c r="A349" s="11" t="s">
        <v>1122</v>
      </c>
      <c r="B349" s="11" t="s">
        <v>1123</v>
      </c>
      <c r="C349" s="67">
        <v>752</v>
      </c>
      <c r="D349" s="92"/>
      <c r="E349" s="92" t="s">
        <v>1495</v>
      </c>
      <c r="F349" s="14"/>
      <c r="G349" s="1"/>
      <c r="J349" s="13"/>
    </row>
    <row r="350" spans="1:10" ht="80.25" customHeight="1">
      <c r="A350" s="11" t="s">
        <v>1124</v>
      </c>
      <c r="B350" s="11" t="s">
        <v>1125</v>
      </c>
      <c r="C350" s="67">
        <v>783</v>
      </c>
      <c r="D350" s="92"/>
      <c r="E350" s="92" t="s">
        <v>1495</v>
      </c>
      <c r="F350" s="14"/>
      <c r="G350" s="1"/>
      <c r="J350" s="13"/>
    </row>
    <row r="351" spans="1:10" ht="80.25" customHeight="1">
      <c r="A351" s="11" t="s">
        <v>1126</v>
      </c>
      <c r="B351" s="11" t="s">
        <v>1127</v>
      </c>
      <c r="C351" s="67">
        <v>948</v>
      </c>
      <c r="D351" s="92"/>
      <c r="E351" s="92" t="s">
        <v>1495</v>
      </c>
      <c r="F351" s="14"/>
      <c r="G351" s="1"/>
      <c r="J351" s="13"/>
    </row>
    <row r="352" spans="1:10" ht="80.25" customHeight="1">
      <c r="A352" s="11" t="s">
        <v>1128</v>
      </c>
      <c r="B352" s="11" t="s">
        <v>792</v>
      </c>
      <c r="C352" s="44">
        <v>2110</v>
      </c>
      <c r="D352" s="93"/>
      <c r="E352" s="93" t="s">
        <v>1495</v>
      </c>
      <c r="F352" s="14"/>
      <c r="G352" s="1"/>
      <c r="J352" s="13"/>
    </row>
    <row r="353" spans="1:10" ht="80.25" customHeight="1">
      <c r="A353" s="51" t="s">
        <v>1129</v>
      </c>
      <c r="B353" s="11" t="s">
        <v>1130</v>
      </c>
      <c r="C353" s="67">
        <v>387</v>
      </c>
      <c r="D353" s="93"/>
      <c r="E353" s="93" t="s">
        <v>1495</v>
      </c>
      <c r="F353" s="14"/>
      <c r="G353" s="1"/>
      <c r="J353" s="13"/>
    </row>
    <row r="354" spans="1:10" ht="80.25" customHeight="1">
      <c r="A354" s="51" t="s">
        <v>1131</v>
      </c>
      <c r="B354" s="11" t="s">
        <v>1132</v>
      </c>
      <c r="C354" s="67">
        <v>1051</v>
      </c>
      <c r="D354" s="92"/>
      <c r="E354" s="92" t="s">
        <v>1495</v>
      </c>
      <c r="F354" s="14"/>
      <c r="G354" s="1"/>
      <c r="J354" s="13"/>
    </row>
    <row r="355" spans="1:10" ht="80.25" customHeight="1">
      <c r="A355" s="51" t="s">
        <v>1133</v>
      </c>
      <c r="B355" s="11" t="s">
        <v>1134</v>
      </c>
      <c r="C355" s="67">
        <v>1927</v>
      </c>
      <c r="D355" s="92"/>
      <c r="E355" s="92" t="s">
        <v>1495</v>
      </c>
      <c r="F355" s="14"/>
      <c r="G355" s="1"/>
      <c r="J355" s="13"/>
    </row>
    <row r="356" spans="1:10" ht="80.25" customHeight="1">
      <c r="A356" s="51" t="s">
        <v>1135</v>
      </c>
      <c r="B356" s="11" t="s">
        <v>1136</v>
      </c>
      <c r="C356" s="67">
        <v>433</v>
      </c>
      <c r="D356" s="92"/>
      <c r="E356" s="92" t="s">
        <v>1495</v>
      </c>
      <c r="F356" s="14"/>
      <c r="G356" s="1"/>
      <c r="J356" s="13"/>
    </row>
    <row r="357" spans="1:10" ht="80.25" customHeight="1">
      <c r="A357" s="51" t="s">
        <v>1137</v>
      </c>
      <c r="B357" s="11" t="s">
        <v>1138</v>
      </c>
      <c r="C357" s="67">
        <v>1278</v>
      </c>
      <c r="D357" s="92"/>
      <c r="E357" s="92" t="s">
        <v>1495</v>
      </c>
      <c r="F357" s="14"/>
      <c r="G357" s="1"/>
      <c r="J357" s="13"/>
    </row>
    <row r="358" spans="1:10" ht="80.25" customHeight="1">
      <c r="A358" s="51" t="s">
        <v>1139</v>
      </c>
      <c r="B358" s="11" t="s">
        <v>1140</v>
      </c>
      <c r="C358" s="67">
        <v>1633</v>
      </c>
      <c r="D358" s="92"/>
      <c r="E358" s="92" t="s">
        <v>1495</v>
      </c>
      <c r="F358" s="14"/>
      <c r="G358" s="1"/>
      <c r="J358" s="13"/>
    </row>
    <row r="359" spans="1:10" ht="80.25" customHeight="1">
      <c r="A359" s="51" t="s">
        <v>1141</v>
      </c>
      <c r="B359" s="11" t="s">
        <v>1142</v>
      </c>
      <c r="C359" s="67">
        <v>1911</v>
      </c>
      <c r="D359" s="93"/>
      <c r="E359" s="93" t="s">
        <v>1495</v>
      </c>
      <c r="F359" s="14"/>
      <c r="G359" s="1"/>
      <c r="J359" s="13"/>
    </row>
    <row r="360" spans="1:10" ht="80.25" customHeight="1">
      <c r="A360" s="51" t="s">
        <v>1143</v>
      </c>
      <c r="B360" s="11" t="s">
        <v>1144</v>
      </c>
      <c r="C360" s="67">
        <v>1103</v>
      </c>
      <c r="D360" s="93"/>
      <c r="E360" s="93" t="s">
        <v>1495</v>
      </c>
      <c r="F360" s="14"/>
      <c r="G360" s="1"/>
      <c r="J360" s="13"/>
    </row>
    <row r="361" spans="1:10" ht="80.25" customHeight="1">
      <c r="A361" s="51" t="s">
        <v>1145</v>
      </c>
      <c r="B361" s="11" t="s">
        <v>1146</v>
      </c>
      <c r="C361" s="67">
        <v>1041</v>
      </c>
      <c r="D361" s="92"/>
      <c r="E361" s="92" t="s">
        <v>1495</v>
      </c>
      <c r="F361" s="14"/>
      <c r="G361" s="1"/>
      <c r="J361" s="13"/>
    </row>
    <row r="362" spans="1:10" s="53" customFormat="1" ht="80.25" customHeight="1">
      <c r="A362" s="51" t="s">
        <v>1147</v>
      </c>
      <c r="B362" s="11" t="s">
        <v>1148</v>
      </c>
      <c r="C362" s="67">
        <v>840</v>
      </c>
      <c r="D362" s="93"/>
      <c r="E362" s="93" t="s">
        <v>1495</v>
      </c>
      <c r="F362" s="14"/>
      <c r="G362" s="1"/>
      <c r="H362" s="1"/>
      <c r="I362" s="1"/>
      <c r="J362" s="13"/>
    </row>
    <row r="363" spans="1:10" s="53" customFormat="1" ht="80.25" customHeight="1">
      <c r="A363" s="51" t="s">
        <v>1149</v>
      </c>
      <c r="B363" s="11" t="s">
        <v>1150</v>
      </c>
      <c r="C363" s="67">
        <v>974</v>
      </c>
      <c r="D363" s="92"/>
      <c r="E363" s="92" t="s">
        <v>1495</v>
      </c>
      <c r="F363" s="14"/>
      <c r="G363" s="1"/>
      <c r="H363" s="1"/>
      <c r="I363" s="1"/>
      <c r="J363" s="13"/>
    </row>
    <row r="364" spans="1:10" s="53" customFormat="1" ht="80.25" customHeight="1">
      <c r="A364" s="51" t="s">
        <v>1151</v>
      </c>
      <c r="B364" s="11" t="s">
        <v>1152</v>
      </c>
      <c r="C364" s="67">
        <v>1267</v>
      </c>
      <c r="D364" s="92"/>
      <c r="E364" s="92" t="s">
        <v>1495</v>
      </c>
      <c r="F364" s="14"/>
      <c r="G364" s="1"/>
      <c r="H364" s="1"/>
      <c r="I364" s="1"/>
      <c r="J364" s="13"/>
    </row>
    <row r="365" spans="1:10" s="53" customFormat="1" ht="80.25" customHeight="1">
      <c r="A365" s="51" t="s">
        <v>1153</v>
      </c>
      <c r="B365" s="11" t="s">
        <v>1130</v>
      </c>
      <c r="C365" s="44">
        <v>3250</v>
      </c>
      <c r="D365" s="92"/>
      <c r="E365" s="92" t="s">
        <v>1495</v>
      </c>
      <c r="F365" s="14"/>
      <c r="G365" s="1"/>
      <c r="H365" s="1"/>
      <c r="I365" s="1"/>
      <c r="J365" s="13"/>
    </row>
    <row r="366" spans="1:10" s="53" customFormat="1" ht="80.25" customHeight="1">
      <c r="A366" s="51" t="s">
        <v>1154</v>
      </c>
      <c r="B366" s="11" t="s">
        <v>1155</v>
      </c>
      <c r="C366" s="67">
        <v>974</v>
      </c>
      <c r="D366" s="92"/>
      <c r="E366" s="92" t="s">
        <v>1495</v>
      </c>
      <c r="F366" s="14"/>
      <c r="G366" s="1"/>
      <c r="H366" s="1"/>
      <c r="I366" s="1"/>
      <c r="J366" s="13"/>
    </row>
    <row r="367" spans="1:10" s="53" customFormat="1" ht="80.25" customHeight="1">
      <c r="A367" s="51" t="s">
        <v>1156</v>
      </c>
      <c r="B367" s="11" t="s">
        <v>1157</v>
      </c>
      <c r="C367" s="67">
        <v>2745</v>
      </c>
      <c r="D367" s="93"/>
      <c r="E367" s="93" t="s">
        <v>1495</v>
      </c>
      <c r="F367" s="14"/>
      <c r="G367" s="1"/>
      <c r="H367" s="1"/>
      <c r="I367" s="1"/>
      <c r="J367" s="13"/>
    </row>
    <row r="368" spans="1:10" s="53" customFormat="1" ht="80.25" customHeight="1">
      <c r="A368" s="51" t="s">
        <v>1158</v>
      </c>
      <c r="B368" s="11" t="s">
        <v>1159</v>
      </c>
      <c r="C368" s="67">
        <v>1968</v>
      </c>
      <c r="D368" s="92"/>
      <c r="E368" s="92" t="s">
        <v>1495</v>
      </c>
      <c r="F368" s="14"/>
      <c r="G368" s="1"/>
      <c r="H368" s="1"/>
      <c r="I368" s="1"/>
      <c r="J368" s="13"/>
    </row>
    <row r="369" spans="1:10" s="53" customFormat="1" ht="80.25" customHeight="1">
      <c r="A369" s="51" t="s">
        <v>1160</v>
      </c>
      <c r="B369" s="11" t="s">
        <v>927</v>
      </c>
      <c r="C369" s="67">
        <v>598</v>
      </c>
      <c r="D369" s="93"/>
      <c r="E369" s="93" t="s">
        <v>1495</v>
      </c>
      <c r="F369" s="14"/>
      <c r="G369" s="1"/>
      <c r="H369" s="1"/>
      <c r="I369" s="1"/>
      <c r="J369" s="13"/>
    </row>
    <row r="370" spans="1:10" s="53" customFormat="1" ht="80.25" customHeight="1">
      <c r="A370" s="51" t="s">
        <v>1161</v>
      </c>
      <c r="B370" s="11" t="s">
        <v>760</v>
      </c>
      <c r="C370" s="67">
        <v>-412</v>
      </c>
      <c r="D370" s="92"/>
      <c r="E370" s="92" t="s">
        <v>1495</v>
      </c>
      <c r="F370" s="14"/>
      <c r="G370" s="1"/>
      <c r="H370" s="1"/>
      <c r="I370" s="1"/>
      <c r="J370" s="13"/>
    </row>
    <row r="371" spans="1:10" s="53" customFormat="1" ht="80.25" customHeight="1">
      <c r="A371" s="51" t="s">
        <v>1162</v>
      </c>
      <c r="B371" s="11" t="s">
        <v>1163</v>
      </c>
      <c r="C371" s="67">
        <v>1664</v>
      </c>
      <c r="D371" s="93"/>
      <c r="E371" s="93" t="s">
        <v>1495</v>
      </c>
      <c r="F371" s="14"/>
      <c r="G371" s="1"/>
      <c r="H371" s="1"/>
      <c r="I371" s="1"/>
      <c r="J371" s="13"/>
    </row>
    <row r="372" spans="1:10" s="53" customFormat="1" ht="80.25" customHeight="1">
      <c r="A372" s="51" t="s">
        <v>1164</v>
      </c>
      <c r="B372" s="11" t="s">
        <v>1165</v>
      </c>
      <c r="C372" s="67">
        <v>2019</v>
      </c>
      <c r="D372" s="94"/>
      <c r="E372" s="94" t="s">
        <v>1495</v>
      </c>
      <c r="F372" s="14"/>
      <c r="G372" s="1"/>
      <c r="H372" s="1"/>
      <c r="I372" s="1"/>
      <c r="J372" s="13"/>
    </row>
    <row r="373" spans="1:10" s="53" customFormat="1" ht="80.25" customHeight="1">
      <c r="A373" s="51" t="s">
        <v>1166</v>
      </c>
      <c r="B373" s="11" t="s">
        <v>1167</v>
      </c>
      <c r="C373" s="67">
        <v>665</v>
      </c>
      <c r="D373" s="92"/>
      <c r="E373" s="92" t="s">
        <v>1495</v>
      </c>
      <c r="F373" s="14"/>
      <c r="G373" s="1"/>
      <c r="H373" s="1"/>
      <c r="I373" s="1"/>
      <c r="J373" s="13"/>
    </row>
    <row r="374" spans="1:10" s="53" customFormat="1" ht="80.25" customHeight="1">
      <c r="A374" s="51" t="s">
        <v>1168</v>
      </c>
      <c r="B374" s="64" t="s">
        <v>1169</v>
      </c>
      <c r="C374" s="67">
        <v>361</v>
      </c>
      <c r="D374" s="92"/>
      <c r="E374" s="92" t="s">
        <v>1495</v>
      </c>
      <c r="F374" s="14"/>
      <c r="G374" s="1"/>
      <c r="H374" s="1"/>
      <c r="I374" s="1"/>
      <c r="J374" s="13"/>
    </row>
    <row r="375" spans="1:10" s="53" customFormat="1" ht="80.25" customHeight="1">
      <c r="A375" s="11" t="s">
        <v>1170</v>
      </c>
      <c r="B375" s="11" t="s">
        <v>1171</v>
      </c>
      <c r="C375" s="67">
        <v>783</v>
      </c>
      <c r="D375" s="92"/>
      <c r="E375" s="92" t="s">
        <v>1495</v>
      </c>
      <c r="F375" s="14"/>
      <c r="G375" s="1"/>
      <c r="H375" s="1"/>
      <c r="I375" s="1"/>
      <c r="J375" s="13"/>
    </row>
    <row r="376" spans="1:10" s="53" customFormat="1" ht="80.25" customHeight="1">
      <c r="A376" s="11" t="s">
        <v>1172</v>
      </c>
      <c r="B376" s="11" t="s">
        <v>1173</v>
      </c>
      <c r="C376" s="67">
        <v>1370</v>
      </c>
      <c r="D376" s="92"/>
      <c r="E376" s="92" t="s">
        <v>1495</v>
      </c>
      <c r="F376" s="14"/>
      <c r="G376" s="1"/>
      <c r="H376" s="1"/>
      <c r="I376" s="1"/>
      <c r="J376" s="13"/>
    </row>
    <row r="377" spans="1:10" s="53" customFormat="1" ht="80.25" customHeight="1">
      <c r="A377" s="11" t="s">
        <v>1174</v>
      </c>
      <c r="B377" s="11" t="s">
        <v>1175</v>
      </c>
      <c r="C377" s="67">
        <v>1190</v>
      </c>
      <c r="D377" s="94"/>
      <c r="E377" s="94" t="s">
        <v>1495</v>
      </c>
      <c r="F377" s="14"/>
      <c r="G377" s="1"/>
      <c r="H377" s="1"/>
      <c r="I377" s="1"/>
      <c r="J377" s="13"/>
    </row>
    <row r="378" spans="1:10" ht="80.25" customHeight="1">
      <c r="A378" s="11" t="s">
        <v>1176</v>
      </c>
      <c r="B378" s="11" t="s">
        <v>1177</v>
      </c>
      <c r="C378" s="67">
        <v>479</v>
      </c>
      <c r="D378" s="94"/>
      <c r="E378" s="94" t="s">
        <v>1495</v>
      </c>
      <c r="F378" s="14"/>
      <c r="G378" s="1"/>
      <c r="J378" s="13"/>
    </row>
    <row r="379" spans="1:10" ht="80.25" customHeight="1">
      <c r="A379" s="11" t="s">
        <v>1178</v>
      </c>
      <c r="B379" s="11" t="s">
        <v>1179</v>
      </c>
      <c r="C379" s="67">
        <v>876</v>
      </c>
      <c r="D379" s="94"/>
      <c r="E379" s="94" t="s">
        <v>1495</v>
      </c>
      <c r="F379" s="14"/>
      <c r="G379" s="1"/>
      <c r="J379" s="13"/>
    </row>
    <row r="380" spans="1:10" ht="80.25" customHeight="1">
      <c r="A380" s="11" t="s">
        <v>1180</v>
      </c>
      <c r="B380" s="11" t="s">
        <v>1181</v>
      </c>
      <c r="C380" s="67">
        <v>1180</v>
      </c>
      <c r="D380" s="94"/>
      <c r="E380" s="94" t="s">
        <v>1495</v>
      </c>
      <c r="F380" s="14"/>
      <c r="G380" s="1"/>
      <c r="J380" s="13"/>
    </row>
    <row r="381" spans="1:10" ht="80.25" customHeight="1">
      <c r="A381" s="51" t="s">
        <v>1182</v>
      </c>
      <c r="B381" s="11" t="s">
        <v>954</v>
      </c>
      <c r="C381" s="67">
        <v>232</v>
      </c>
      <c r="D381" s="94"/>
      <c r="E381" s="94" t="s">
        <v>1495</v>
      </c>
      <c r="F381" s="14"/>
      <c r="G381" s="1"/>
      <c r="J381" s="13"/>
    </row>
    <row r="382" spans="1:10" ht="80.25" customHeight="1">
      <c r="A382" s="51" t="s">
        <v>1183</v>
      </c>
      <c r="B382" s="11" t="s">
        <v>948</v>
      </c>
      <c r="C382" s="67">
        <v>562</v>
      </c>
      <c r="D382" s="92"/>
      <c r="E382" s="92" t="s">
        <v>1495</v>
      </c>
      <c r="F382" s="14"/>
      <c r="G382" s="1"/>
      <c r="J382" s="13"/>
    </row>
    <row r="383" spans="1:10" ht="80.25" customHeight="1">
      <c r="A383" s="51" t="s">
        <v>1184</v>
      </c>
      <c r="B383" s="11" t="s">
        <v>1185</v>
      </c>
      <c r="C383" s="67">
        <v>783</v>
      </c>
      <c r="D383" s="92"/>
      <c r="E383" s="92" t="s">
        <v>1495</v>
      </c>
      <c r="F383" s="14"/>
      <c r="G383" s="1"/>
      <c r="J383" s="13"/>
    </row>
    <row r="384" spans="1:10" s="28" customFormat="1" ht="80.25" customHeight="1">
      <c r="A384" s="51" t="s">
        <v>1186</v>
      </c>
      <c r="B384" s="11" t="s">
        <v>1187</v>
      </c>
      <c r="C384" s="67">
        <v>552</v>
      </c>
      <c r="D384" s="92"/>
      <c r="E384" s="92" t="s">
        <v>1495</v>
      </c>
      <c r="F384" s="14"/>
      <c r="J384" s="13"/>
    </row>
    <row r="385" spans="1:10" ht="80.25" customHeight="1">
      <c r="A385" s="51" t="s">
        <v>1188</v>
      </c>
      <c r="B385" s="11" t="s">
        <v>1189</v>
      </c>
      <c r="C385" s="67">
        <v>783</v>
      </c>
      <c r="D385" s="92"/>
      <c r="E385" s="92" t="s">
        <v>1495</v>
      </c>
      <c r="F385" s="59"/>
      <c r="G385" s="1"/>
      <c r="J385" s="13"/>
    </row>
    <row r="386" spans="1:10" ht="80.25" customHeight="1">
      <c r="A386" s="51" t="s">
        <v>1190</v>
      </c>
      <c r="B386" s="11" t="s">
        <v>962</v>
      </c>
      <c r="C386" s="67">
        <v>783</v>
      </c>
      <c r="D386" s="92"/>
      <c r="E386" s="92" t="s">
        <v>1495</v>
      </c>
      <c r="F386" s="59"/>
      <c r="G386" s="1"/>
      <c r="J386" s="13"/>
    </row>
    <row r="387" spans="1:10" ht="80.25" customHeight="1">
      <c r="A387" s="51" t="s">
        <v>1191</v>
      </c>
      <c r="B387" s="11" t="s">
        <v>964</v>
      </c>
      <c r="C387" s="67">
        <v>783</v>
      </c>
      <c r="D387" s="92"/>
      <c r="E387" s="92" t="s">
        <v>1495</v>
      </c>
      <c r="F387" s="59"/>
      <c r="G387" s="1"/>
      <c r="J387" s="13"/>
    </row>
    <row r="388" spans="1:10" s="20" customFormat="1" ht="80.25" customHeight="1">
      <c r="A388" s="51" t="s">
        <v>1192</v>
      </c>
      <c r="B388" s="11" t="s">
        <v>1193</v>
      </c>
      <c r="C388" s="67">
        <v>243</v>
      </c>
      <c r="D388" s="92"/>
      <c r="E388" s="92" t="s">
        <v>1495</v>
      </c>
      <c r="F388" s="60"/>
      <c r="J388" s="13"/>
    </row>
    <row r="389" spans="1:10" ht="80.25" customHeight="1">
      <c r="A389" s="51" t="s">
        <v>1194</v>
      </c>
      <c r="B389" s="11" t="s">
        <v>1195</v>
      </c>
      <c r="C389" s="67">
        <v>433</v>
      </c>
      <c r="D389" s="92"/>
      <c r="E389" s="92" t="s">
        <v>1495</v>
      </c>
      <c r="F389" s="59"/>
      <c r="G389" s="1"/>
      <c r="J389" s="13"/>
    </row>
    <row r="390" spans="1:10" ht="80.25" customHeight="1">
      <c r="A390" s="51" t="s">
        <v>1196</v>
      </c>
      <c r="B390" s="11" t="s">
        <v>1197</v>
      </c>
      <c r="C390" s="87" t="s">
        <v>758</v>
      </c>
      <c r="D390" s="92"/>
      <c r="E390" s="92" t="s">
        <v>1495</v>
      </c>
      <c r="F390" s="59"/>
      <c r="G390" s="1"/>
      <c r="J390" s="13"/>
    </row>
    <row r="391" spans="1:10" ht="80.25" customHeight="1">
      <c r="A391" s="51" t="s">
        <v>1198</v>
      </c>
      <c r="B391" s="11" t="s">
        <v>1199</v>
      </c>
      <c r="C391" s="67">
        <v>325</v>
      </c>
      <c r="D391" s="92"/>
      <c r="E391" s="92" t="s">
        <v>1495</v>
      </c>
      <c r="F391" s="59"/>
      <c r="G391" s="1"/>
      <c r="J391" s="13"/>
    </row>
    <row r="392" spans="1:10" ht="80.25" customHeight="1">
      <c r="A392" s="51" t="s">
        <v>1200</v>
      </c>
      <c r="B392" s="64" t="s">
        <v>1201</v>
      </c>
      <c r="C392" s="114">
        <v>866</v>
      </c>
      <c r="D392" s="92"/>
      <c r="E392" s="92" t="s">
        <v>1495</v>
      </c>
      <c r="F392" s="59"/>
      <c r="G392" s="1"/>
      <c r="J392" s="13"/>
    </row>
    <row r="393" spans="1:10" ht="80.25" customHeight="1">
      <c r="A393" s="51" t="s">
        <v>1202</v>
      </c>
      <c r="B393" s="11" t="s">
        <v>1203</v>
      </c>
      <c r="C393" s="87" t="s">
        <v>758</v>
      </c>
      <c r="D393" s="92"/>
      <c r="E393" s="92" t="s">
        <v>1495</v>
      </c>
      <c r="F393" s="59"/>
      <c r="G393" s="1"/>
      <c r="J393" s="13"/>
    </row>
    <row r="394" spans="1:10" ht="80.25" customHeight="1">
      <c r="A394" s="51" t="s">
        <v>1204</v>
      </c>
      <c r="B394" s="11" t="s">
        <v>1205</v>
      </c>
      <c r="C394" s="67">
        <v>598</v>
      </c>
      <c r="D394" s="92"/>
      <c r="E394" s="92" t="s">
        <v>1495</v>
      </c>
      <c r="F394" s="59"/>
      <c r="G394" s="1"/>
      <c r="J394" s="13"/>
    </row>
    <row r="395" spans="1:10" ht="80.25" customHeight="1">
      <c r="A395" s="51" t="s">
        <v>1206</v>
      </c>
      <c r="B395" s="11" t="s">
        <v>1207</v>
      </c>
      <c r="C395" s="67">
        <v>1190</v>
      </c>
      <c r="D395" s="92"/>
      <c r="E395" s="92" t="s">
        <v>1495</v>
      </c>
      <c r="F395" s="59"/>
      <c r="G395" s="1"/>
      <c r="J395" s="13"/>
    </row>
    <row r="396" spans="1:10" ht="80.25" customHeight="1">
      <c r="A396" s="51" t="s">
        <v>1208</v>
      </c>
      <c r="B396" s="11" t="s">
        <v>1209</v>
      </c>
      <c r="C396" s="67">
        <v>433</v>
      </c>
      <c r="D396" s="92"/>
      <c r="E396" s="92" t="s">
        <v>1495</v>
      </c>
      <c r="F396" s="59"/>
      <c r="G396" s="1"/>
      <c r="J396" s="13"/>
    </row>
    <row r="397" spans="1:10" ht="80.25" customHeight="1">
      <c r="A397" s="51" t="s">
        <v>1210</v>
      </c>
      <c r="B397" s="11" t="s">
        <v>1211</v>
      </c>
      <c r="C397" s="67">
        <v>866</v>
      </c>
      <c r="D397" s="92"/>
      <c r="E397" s="92" t="s">
        <v>1495</v>
      </c>
      <c r="F397" s="59"/>
      <c r="G397" s="1"/>
      <c r="J397" s="13"/>
    </row>
    <row r="398" spans="1:10" ht="80.25" customHeight="1">
      <c r="A398" s="51" t="s">
        <v>1212</v>
      </c>
      <c r="B398" s="11" t="s">
        <v>1213</v>
      </c>
      <c r="C398" s="67">
        <v>907</v>
      </c>
      <c r="D398" s="92"/>
      <c r="E398" s="92" t="s">
        <v>1495</v>
      </c>
      <c r="F398" s="59"/>
      <c r="G398" s="1"/>
      <c r="J398" s="13"/>
    </row>
    <row r="399" spans="1:10" ht="80.25" customHeight="1">
      <c r="A399" s="51" t="s">
        <v>1214</v>
      </c>
      <c r="B399" s="11" t="s">
        <v>1215</v>
      </c>
      <c r="C399" s="67">
        <v>1808</v>
      </c>
      <c r="D399" s="94"/>
      <c r="E399" s="94" t="s">
        <v>1495</v>
      </c>
      <c r="F399" s="59"/>
      <c r="G399" s="1"/>
      <c r="J399" s="13"/>
    </row>
    <row r="400" spans="1:10" ht="80.25" customHeight="1">
      <c r="A400" s="51" t="s">
        <v>1216</v>
      </c>
      <c r="B400" s="11" t="s">
        <v>1217</v>
      </c>
      <c r="C400" s="67">
        <v>62</v>
      </c>
      <c r="D400" s="92"/>
      <c r="E400" s="92" t="s">
        <v>1495</v>
      </c>
      <c r="F400" s="59"/>
      <c r="G400" s="1"/>
      <c r="J400" s="13"/>
    </row>
    <row r="401" spans="1:10" ht="80.25" customHeight="1">
      <c r="A401" s="51" t="s">
        <v>1218</v>
      </c>
      <c r="B401" s="11" t="s">
        <v>1219</v>
      </c>
      <c r="C401" s="114">
        <v>881</v>
      </c>
      <c r="D401" s="92"/>
      <c r="E401" s="92" t="s">
        <v>1495</v>
      </c>
      <c r="F401" s="59"/>
      <c r="G401" s="1"/>
      <c r="J401" s="13"/>
    </row>
    <row r="402" spans="1:10" ht="80.25" customHeight="1">
      <c r="A402" s="51" t="s">
        <v>1220</v>
      </c>
      <c r="B402" s="11" t="s">
        <v>1221</v>
      </c>
      <c r="C402" s="67">
        <v>783</v>
      </c>
      <c r="D402" s="92"/>
      <c r="E402" s="92" t="s">
        <v>1495</v>
      </c>
      <c r="F402" s="61"/>
      <c r="G402" s="1"/>
      <c r="J402" s="13"/>
    </row>
    <row r="403" spans="1:10" ht="80.25" customHeight="1">
      <c r="A403" s="51" t="s">
        <v>1222</v>
      </c>
      <c r="B403" s="11" t="s">
        <v>990</v>
      </c>
      <c r="C403" s="67">
        <v>1072</v>
      </c>
      <c r="D403" s="92"/>
      <c r="E403" s="92" t="s">
        <v>1495</v>
      </c>
      <c r="F403" s="61"/>
      <c r="G403" s="1"/>
      <c r="J403" s="13"/>
    </row>
    <row r="404" spans="1:10" ht="80.25" customHeight="1">
      <c r="A404" s="11" t="s">
        <v>1223</v>
      </c>
      <c r="B404" s="11" t="s">
        <v>1224</v>
      </c>
      <c r="C404" s="67">
        <v>510</v>
      </c>
      <c r="D404" s="92"/>
      <c r="E404" s="92" t="s">
        <v>1495</v>
      </c>
      <c r="F404" s="59"/>
      <c r="G404" s="1"/>
      <c r="J404" s="13"/>
    </row>
    <row r="405" spans="1:10" s="62" customFormat="1" ht="80.25" customHeight="1">
      <c r="A405" s="51" t="s">
        <v>1225</v>
      </c>
      <c r="B405" s="11" t="s">
        <v>1226</v>
      </c>
      <c r="C405" s="67">
        <v>742</v>
      </c>
      <c r="D405" s="92"/>
      <c r="E405" s="92" t="s">
        <v>1495</v>
      </c>
      <c r="F405" s="61"/>
      <c r="J405" s="63"/>
    </row>
    <row r="406" spans="1:10" ht="80.25" customHeight="1">
      <c r="A406" s="51" t="s">
        <v>1227</v>
      </c>
      <c r="B406" s="11" t="s">
        <v>1228</v>
      </c>
      <c r="C406" s="67">
        <v>644</v>
      </c>
      <c r="D406" s="92"/>
      <c r="E406" s="92" t="s">
        <v>1495</v>
      </c>
      <c r="F406" s="59"/>
      <c r="G406" s="1"/>
      <c r="J406" s="13"/>
    </row>
    <row r="407" spans="1:10" ht="80.25" customHeight="1">
      <c r="A407" s="51" t="s">
        <v>1229</v>
      </c>
      <c r="B407" s="11" t="s">
        <v>1230</v>
      </c>
      <c r="C407" s="67">
        <v>176</v>
      </c>
      <c r="D407" s="92"/>
      <c r="E407" s="92" t="s">
        <v>1495</v>
      </c>
      <c r="F407" s="59"/>
      <c r="G407" s="1"/>
      <c r="J407" s="13"/>
    </row>
    <row r="408" spans="1:10" ht="80.25" customHeight="1">
      <c r="A408" s="76" t="s">
        <v>1238</v>
      </c>
      <c r="B408" s="75" t="s">
        <v>1239</v>
      </c>
      <c r="C408" s="44">
        <v>800</v>
      </c>
      <c r="D408" s="94"/>
      <c r="E408" s="94" t="s">
        <v>1495</v>
      </c>
      <c r="F408" s="59"/>
      <c r="G408" s="1"/>
      <c r="J408" s="13"/>
    </row>
    <row r="409" spans="1:10" s="62" customFormat="1" ht="80.25" customHeight="1">
      <c r="A409" s="51" t="s">
        <v>1231</v>
      </c>
      <c r="B409" s="11" t="s">
        <v>1232</v>
      </c>
      <c r="C409" s="67">
        <v>88</v>
      </c>
      <c r="D409" s="92"/>
      <c r="E409" s="92" t="s">
        <v>1495</v>
      </c>
      <c r="F409" s="61"/>
      <c r="J409" s="63"/>
    </row>
    <row r="410" spans="1:10" s="62" customFormat="1" ht="80.25" customHeight="1">
      <c r="A410" s="51" t="s">
        <v>1233</v>
      </c>
      <c r="B410" s="11" t="s">
        <v>996</v>
      </c>
      <c r="C410" s="67">
        <v>387</v>
      </c>
      <c r="D410" s="94"/>
      <c r="E410" s="94" t="s">
        <v>1495</v>
      </c>
      <c r="F410" s="61"/>
      <c r="J410" s="63"/>
    </row>
    <row r="411" spans="1:10" s="62" customFormat="1" ht="80.25" customHeight="1">
      <c r="A411" s="51" t="s">
        <v>1234</v>
      </c>
      <c r="B411" s="11" t="s">
        <v>1235</v>
      </c>
      <c r="C411" s="67">
        <v>624</v>
      </c>
      <c r="D411" s="92"/>
      <c r="E411" s="92" t="s">
        <v>1495</v>
      </c>
      <c r="F411" s="61"/>
      <c r="J411" s="63"/>
    </row>
    <row r="412" spans="1:10" s="62" customFormat="1" ht="80.25" customHeight="1">
      <c r="A412" s="76" t="s">
        <v>1236</v>
      </c>
      <c r="B412" s="75" t="s">
        <v>1237</v>
      </c>
      <c r="C412" s="44">
        <v>3350</v>
      </c>
      <c r="D412" s="92"/>
      <c r="E412" s="92" t="s">
        <v>1495</v>
      </c>
      <c r="F412" s="61"/>
      <c r="J412" s="63"/>
    </row>
    <row r="413" spans="1:10" ht="80.25" customHeight="1">
      <c r="A413" s="51" t="s">
        <v>1240</v>
      </c>
      <c r="B413" s="11" t="s">
        <v>998</v>
      </c>
      <c r="C413" s="67">
        <v>284</v>
      </c>
      <c r="D413" s="92"/>
      <c r="E413" s="92" t="s">
        <v>1495</v>
      </c>
      <c r="F413" s="61"/>
      <c r="G413" s="1"/>
      <c r="J413" s="13"/>
    </row>
    <row r="414" spans="1:10" ht="80.25" customHeight="1">
      <c r="A414" s="51" t="s">
        <v>1241</v>
      </c>
      <c r="B414" s="11" t="s">
        <v>1242</v>
      </c>
      <c r="C414" s="67">
        <v>237</v>
      </c>
      <c r="D414" s="92"/>
      <c r="E414" s="92" t="s">
        <v>1495</v>
      </c>
      <c r="F414" s="59"/>
      <c r="G414" s="1"/>
      <c r="J414" s="13"/>
    </row>
    <row r="415" spans="1:10" ht="80.25" customHeight="1">
      <c r="A415" s="51" t="s">
        <v>1243</v>
      </c>
      <c r="B415" s="64" t="s">
        <v>1244</v>
      </c>
      <c r="C415" s="67">
        <v>212</v>
      </c>
      <c r="D415" s="92"/>
      <c r="E415" s="92" t="s">
        <v>1495</v>
      </c>
      <c r="F415" s="59"/>
      <c r="G415" s="1"/>
      <c r="J415" s="13"/>
    </row>
    <row r="416" spans="1:10" ht="80.25" customHeight="1">
      <c r="A416" s="51" t="s">
        <v>1245</v>
      </c>
      <c r="B416" s="11" t="s">
        <v>1246</v>
      </c>
      <c r="C416" s="67">
        <v>88</v>
      </c>
      <c r="D416" s="92"/>
      <c r="E416" s="92" t="s">
        <v>1495</v>
      </c>
      <c r="F416" s="59"/>
      <c r="G416" s="1"/>
      <c r="J416" s="13"/>
    </row>
    <row r="417" spans="1:10" ht="80.25" customHeight="1">
      <c r="A417" s="51" t="s">
        <v>1247</v>
      </c>
      <c r="B417" s="11" t="s">
        <v>1006</v>
      </c>
      <c r="C417" s="67">
        <v>454</v>
      </c>
      <c r="D417" s="92"/>
      <c r="E417" s="92" t="s">
        <v>1495</v>
      </c>
      <c r="F417" s="59"/>
      <c r="G417" s="1"/>
      <c r="J417" s="13"/>
    </row>
    <row r="418" spans="1:10" ht="80.25" customHeight="1">
      <c r="A418" s="73" t="s">
        <v>1248</v>
      </c>
      <c r="B418" s="64" t="s">
        <v>1249</v>
      </c>
      <c r="C418" s="67">
        <v>88</v>
      </c>
      <c r="D418" s="92"/>
      <c r="E418" s="92" t="s">
        <v>1495</v>
      </c>
      <c r="F418" s="59"/>
      <c r="G418" s="1"/>
      <c r="J418" s="13"/>
    </row>
    <row r="419" spans="1:10" ht="80.25" customHeight="1">
      <c r="A419" s="72" t="s">
        <v>1250</v>
      </c>
      <c r="B419" s="70" t="s">
        <v>1008</v>
      </c>
      <c r="C419" s="67">
        <v>608</v>
      </c>
      <c r="D419" s="92"/>
      <c r="E419" s="92" t="s">
        <v>1495</v>
      </c>
      <c r="F419" s="60"/>
      <c r="G419" s="1"/>
      <c r="J419" s="13"/>
    </row>
    <row r="420" spans="1:10" ht="80.25" customHeight="1">
      <c r="A420" s="72" t="s">
        <v>1251</v>
      </c>
      <c r="B420" s="70" t="s">
        <v>1252</v>
      </c>
      <c r="C420" s="74" t="s">
        <v>758</v>
      </c>
      <c r="D420" s="92"/>
      <c r="E420" s="92" t="s">
        <v>1495</v>
      </c>
      <c r="F420" s="60"/>
      <c r="G420" s="1"/>
      <c r="J420" s="13"/>
    </row>
    <row r="421" spans="1:10" ht="80.25" customHeight="1">
      <c r="A421" s="11" t="s">
        <v>430</v>
      </c>
      <c r="B421" s="11" t="s">
        <v>431</v>
      </c>
      <c r="C421" s="12">
        <v>459</v>
      </c>
      <c r="D421" s="94"/>
      <c r="E421" s="94" t="s">
        <v>1495</v>
      </c>
      <c r="F421" s="60"/>
      <c r="G421" s="1"/>
      <c r="J421" s="13"/>
    </row>
    <row r="422" spans="1:10" ht="80.25" customHeight="1">
      <c r="A422" s="11" t="s">
        <v>1253</v>
      </c>
      <c r="B422" s="11" t="s">
        <v>1254</v>
      </c>
      <c r="C422" s="67">
        <v>721</v>
      </c>
      <c r="D422" s="94"/>
      <c r="E422" s="94" t="s">
        <v>1509</v>
      </c>
      <c r="F422" s="59"/>
      <c r="G422" s="1"/>
      <c r="J422" s="13"/>
    </row>
    <row r="423" spans="1:10" ht="80.25" customHeight="1">
      <c r="A423" s="11" t="s">
        <v>1255</v>
      </c>
      <c r="B423" s="11" t="s">
        <v>1256</v>
      </c>
      <c r="C423" s="67">
        <v>742</v>
      </c>
      <c r="D423" s="95"/>
      <c r="E423" s="94" t="s">
        <v>1509</v>
      </c>
      <c r="F423" s="59"/>
      <c r="G423" s="1"/>
      <c r="J423" s="13"/>
    </row>
    <row r="424" spans="1:10" ht="80.25" customHeight="1">
      <c r="A424" s="11" t="s">
        <v>1259</v>
      </c>
      <c r="B424" s="11" t="s">
        <v>1260</v>
      </c>
      <c r="C424" s="67">
        <v>953</v>
      </c>
      <c r="D424" s="95"/>
      <c r="E424" s="94" t="s">
        <v>1509</v>
      </c>
      <c r="F424" s="59"/>
      <c r="G424" s="1"/>
      <c r="J424" s="13"/>
    </row>
    <row r="425" spans="1:10" ht="80.25" customHeight="1">
      <c r="A425" s="11" t="s">
        <v>1261</v>
      </c>
      <c r="B425" s="11" t="s">
        <v>1262</v>
      </c>
      <c r="C425" s="67">
        <v>964</v>
      </c>
      <c r="D425" s="95"/>
      <c r="E425" s="94" t="s">
        <v>1509</v>
      </c>
      <c r="F425" s="60"/>
      <c r="G425" s="1"/>
      <c r="J425" s="13"/>
    </row>
    <row r="426" spans="1:10" ht="80.25" customHeight="1">
      <c r="A426" s="11" t="s">
        <v>1263</v>
      </c>
      <c r="B426" s="11" t="s">
        <v>1264</v>
      </c>
      <c r="C426" s="67">
        <v>989</v>
      </c>
      <c r="D426" s="95"/>
      <c r="E426" s="94" t="s">
        <v>1509</v>
      </c>
      <c r="F426" s="60"/>
      <c r="G426" s="1"/>
      <c r="J426" s="13"/>
    </row>
    <row r="427" spans="1:10" ht="80.25" customHeight="1">
      <c r="A427" s="11" t="s">
        <v>1265</v>
      </c>
      <c r="B427" s="11" t="s">
        <v>1266</v>
      </c>
      <c r="C427" s="67">
        <v>1180</v>
      </c>
      <c r="D427" s="95"/>
      <c r="E427" s="94" t="s">
        <v>1509</v>
      </c>
      <c r="F427" s="60"/>
      <c r="G427" s="1"/>
      <c r="J427" s="13"/>
    </row>
    <row r="428" spans="1:10" ht="80.25" customHeight="1">
      <c r="A428" s="11" t="s">
        <v>1267</v>
      </c>
      <c r="B428" s="11" t="s">
        <v>1268</v>
      </c>
      <c r="C428" s="67">
        <v>1206</v>
      </c>
      <c r="D428" s="95"/>
      <c r="E428" s="94" t="s">
        <v>1509</v>
      </c>
      <c r="F428" s="59"/>
      <c r="G428" s="1"/>
      <c r="J428" s="13"/>
    </row>
    <row r="429" spans="1:10" ht="80.25" customHeight="1">
      <c r="A429" s="11" t="s">
        <v>1269</v>
      </c>
      <c r="B429" s="11" t="s">
        <v>1270</v>
      </c>
      <c r="C429" s="67">
        <v>1231</v>
      </c>
      <c r="D429" s="95"/>
      <c r="E429" s="94" t="s">
        <v>1509</v>
      </c>
      <c r="F429" s="59"/>
      <c r="G429" s="1"/>
      <c r="J429" s="13"/>
    </row>
    <row r="430" spans="1:10" ht="80.25" customHeight="1">
      <c r="A430" s="11" t="s">
        <v>1271</v>
      </c>
      <c r="B430" s="11" t="s">
        <v>1272</v>
      </c>
      <c r="C430" s="67">
        <v>1257</v>
      </c>
      <c r="D430" s="95"/>
      <c r="E430" s="94" t="s">
        <v>1509</v>
      </c>
      <c r="F430" s="59"/>
      <c r="G430" s="1"/>
      <c r="J430" s="13"/>
    </row>
    <row r="431" spans="1:10" ht="80.25" customHeight="1">
      <c r="A431" s="11" t="s">
        <v>1273</v>
      </c>
      <c r="B431" s="11" t="s">
        <v>1274</v>
      </c>
      <c r="C431" s="67">
        <v>1278</v>
      </c>
      <c r="D431" s="95"/>
      <c r="E431" s="94" t="s">
        <v>1509</v>
      </c>
      <c r="F431" s="59"/>
      <c r="G431" s="1"/>
      <c r="J431" s="13"/>
    </row>
    <row r="432" spans="1:10" ht="80.25" customHeight="1">
      <c r="A432" s="11" t="s">
        <v>1275</v>
      </c>
      <c r="B432" s="11" t="s">
        <v>1276</v>
      </c>
      <c r="C432" s="67">
        <v>1303</v>
      </c>
      <c r="D432" s="95"/>
      <c r="E432" s="94" t="s">
        <v>1509</v>
      </c>
      <c r="F432" s="59"/>
      <c r="G432" s="1"/>
      <c r="J432" s="13"/>
    </row>
    <row r="433" spans="1:10" ht="80.25" customHeight="1">
      <c r="A433" s="11" t="s">
        <v>1257</v>
      </c>
      <c r="B433" s="11" t="s">
        <v>1258</v>
      </c>
      <c r="C433" s="67">
        <v>752</v>
      </c>
      <c r="D433" s="95"/>
      <c r="E433" s="94" t="s">
        <v>1509</v>
      </c>
      <c r="F433" s="59"/>
      <c r="G433" s="1"/>
      <c r="J433" s="13"/>
    </row>
    <row r="434" spans="1:10" ht="80.25" customHeight="1">
      <c r="A434" s="11" t="s">
        <v>1277</v>
      </c>
      <c r="B434" s="11" t="s">
        <v>1278</v>
      </c>
      <c r="C434" s="67">
        <v>964</v>
      </c>
      <c r="D434" s="95"/>
      <c r="E434" s="94" t="s">
        <v>1509</v>
      </c>
      <c r="F434" s="59"/>
      <c r="G434" s="1"/>
      <c r="J434" s="13"/>
    </row>
    <row r="435" spans="1:10" ht="80.25" customHeight="1">
      <c r="A435" s="11" t="s">
        <v>1279</v>
      </c>
      <c r="B435" s="11" t="s">
        <v>1280</v>
      </c>
      <c r="C435" s="67">
        <v>974</v>
      </c>
      <c r="D435" s="95"/>
      <c r="E435" s="94" t="s">
        <v>1509</v>
      </c>
      <c r="F435" s="59"/>
      <c r="G435" s="1"/>
      <c r="J435" s="13"/>
    </row>
    <row r="436" spans="1:10" ht="80.25" customHeight="1">
      <c r="A436" s="11" t="s">
        <v>1281</v>
      </c>
      <c r="B436" s="11" t="s">
        <v>1282</v>
      </c>
      <c r="C436" s="67">
        <v>989</v>
      </c>
      <c r="D436" s="95"/>
      <c r="E436" s="94" t="s">
        <v>1509</v>
      </c>
      <c r="F436" s="59"/>
      <c r="G436" s="1"/>
      <c r="J436" s="13"/>
    </row>
    <row r="437" spans="1:10" ht="80.25" customHeight="1">
      <c r="A437" s="11" t="s">
        <v>1283</v>
      </c>
      <c r="B437" s="11" t="s">
        <v>1284</v>
      </c>
      <c r="C437" s="67">
        <v>1159</v>
      </c>
      <c r="D437" s="95"/>
      <c r="E437" s="94" t="s">
        <v>1509</v>
      </c>
      <c r="F437" s="59"/>
      <c r="G437" s="65"/>
      <c r="J437" s="13"/>
    </row>
    <row r="438" spans="1:10" s="18" customFormat="1" ht="80.25" customHeight="1">
      <c r="A438" s="11" t="s">
        <v>1285</v>
      </c>
      <c r="B438" s="11" t="s">
        <v>1286</v>
      </c>
      <c r="C438" s="67">
        <v>1180</v>
      </c>
      <c r="D438" s="95"/>
      <c r="E438" s="94" t="s">
        <v>1509</v>
      </c>
      <c r="F438" s="66"/>
      <c r="G438" s="61"/>
      <c r="J438" s="13"/>
    </row>
    <row r="439" spans="1:10" ht="80.25" customHeight="1">
      <c r="A439" s="11" t="s">
        <v>1287</v>
      </c>
      <c r="B439" s="11" t="s">
        <v>1288</v>
      </c>
      <c r="C439" s="67">
        <v>1206</v>
      </c>
      <c r="D439" s="95"/>
      <c r="E439" s="94" t="s">
        <v>1509</v>
      </c>
      <c r="F439" s="59"/>
      <c r="G439" s="61"/>
      <c r="J439" s="13"/>
    </row>
    <row r="440" spans="1:10" s="62" customFormat="1" ht="80.25" customHeight="1">
      <c r="A440" s="11" t="s">
        <v>1289</v>
      </c>
      <c r="B440" s="11" t="s">
        <v>1290</v>
      </c>
      <c r="C440" s="67">
        <v>1406</v>
      </c>
      <c r="D440" s="95"/>
      <c r="E440" s="94" t="s">
        <v>1509</v>
      </c>
      <c r="F440" s="61"/>
      <c r="G440" s="61"/>
      <c r="J440" s="63"/>
    </row>
    <row r="441" spans="1:10" ht="80.25" customHeight="1">
      <c r="A441" s="11" t="s">
        <v>1291</v>
      </c>
      <c r="B441" s="11" t="s">
        <v>1292</v>
      </c>
      <c r="C441" s="67">
        <v>1432</v>
      </c>
      <c r="D441" s="95"/>
      <c r="E441" s="94" t="s">
        <v>1509</v>
      </c>
      <c r="F441" s="59"/>
      <c r="G441" s="1"/>
      <c r="J441" s="13"/>
    </row>
    <row r="442" spans="1:10" ht="80.25" customHeight="1">
      <c r="A442" s="11" t="s">
        <v>1293</v>
      </c>
      <c r="B442" s="11" t="s">
        <v>1294</v>
      </c>
      <c r="C442" s="67">
        <v>1458</v>
      </c>
      <c r="D442" s="95"/>
      <c r="E442" s="94" t="s">
        <v>1509</v>
      </c>
      <c r="F442" s="59"/>
      <c r="G442" s="62"/>
      <c r="J442" s="13"/>
    </row>
    <row r="443" spans="1:10" ht="80.25" customHeight="1">
      <c r="A443" s="11" t="s">
        <v>1295</v>
      </c>
      <c r="B443" s="11" t="s">
        <v>1296</v>
      </c>
      <c r="C443" s="67">
        <v>1479</v>
      </c>
      <c r="D443" s="95"/>
      <c r="E443" s="94" t="s">
        <v>1509</v>
      </c>
      <c r="F443" s="59"/>
      <c r="G443" s="1"/>
      <c r="J443" s="13"/>
    </row>
    <row r="444" spans="1:10" ht="80.25" customHeight="1">
      <c r="A444" s="11" t="s">
        <v>1297</v>
      </c>
      <c r="B444" s="11" t="s">
        <v>1298</v>
      </c>
      <c r="C444" s="67">
        <v>1504</v>
      </c>
      <c r="D444" s="95"/>
      <c r="E444" s="94" t="s">
        <v>1509</v>
      </c>
      <c r="F444" s="59"/>
      <c r="G444" s="1"/>
      <c r="J444" s="13"/>
    </row>
    <row r="445" spans="1:10" ht="80.25" customHeight="1">
      <c r="A445" s="11" t="s">
        <v>1299</v>
      </c>
      <c r="B445" s="11" t="s">
        <v>1300</v>
      </c>
      <c r="C445" s="67">
        <v>1525</v>
      </c>
      <c r="D445" s="95"/>
      <c r="E445" s="94" t="s">
        <v>1509</v>
      </c>
      <c r="F445" s="59"/>
      <c r="G445" s="1"/>
      <c r="J445" s="13"/>
    </row>
    <row r="446" spans="1:10" ht="80.25" customHeight="1">
      <c r="A446" s="11" t="s">
        <v>1301</v>
      </c>
      <c r="B446" s="11" t="s">
        <v>1302</v>
      </c>
      <c r="C446" s="67">
        <v>1030</v>
      </c>
      <c r="D446" s="92"/>
      <c r="E446" s="94" t="s">
        <v>1509</v>
      </c>
      <c r="F446" s="59"/>
      <c r="G446" s="1"/>
      <c r="J446" s="13"/>
    </row>
    <row r="447" spans="1:10" ht="80.25" customHeight="1">
      <c r="A447" s="11" t="s">
        <v>1303</v>
      </c>
      <c r="B447" s="11" t="s">
        <v>1304</v>
      </c>
      <c r="C447" s="67">
        <v>1061</v>
      </c>
      <c r="D447" s="93"/>
      <c r="E447" s="94" t="s">
        <v>1509</v>
      </c>
      <c r="F447" s="59"/>
      <c r="G447" s="1"/>
      <c r="J447" s="13"/>
    </row>
    <row r="448" spans="1:10" ht="80.25" customHeight="1">
      <c r="A448" s="11" t="s">
        <v>1305</v>
      </c>
      <c r="B448" s="11" t="s">
        <v>1306</v>
      </c>
      <c r="C448" s="67">
        <v>1082</v>
      </c>
      <c r="D448" s="93"/>
      <c r="E448" s="94" t="s">
        <v>1509</v>
      </c>
      <c r="F448" s="59"/>
      <c r="G448" s="1"/>
      <c r="J448" s="13"/>
    </row>
    <row r="449" spans="1:10" ht="80.25" customHeight="1">
      <c r="A449" s="11" t="s">
        <v>1307</v>
      </c>
      <c r="B449" s="11" t="s">
        <v>1308</v>
      </c>
      <c r="C449" s="67">
        <v>1612</v>
      </c>
      <c r="D449" s="93"/>
      <c r="E449" s="94" t="s">
        <v>1509</v>
      </c>
      <c r="F449" s="59"/>
      <c r="G449" s="1"/>
      <c r="J449" s="13"/>
    </row>
    <row r="450" spans="1:10" ht="80.25" customHeight="1">
      <c r="A450" s="11" t="s">
        <v>1309</v>
      </c>
      <c r="B450" s="11" t="s">
        <v>1310</v>
      </c>
      <c r="C450" s="67">
        <v>1633</v>
      </c>
      <c r="D450" s="93"/>
      <c r="E450" s="94" t="s">
        <v>1509</v>
      </c>
      <c r="F450" s="59"/>
      <c r="G450" s="1"/>
      <c r="J450" s="13"/>
    </row>
    <row r="451" spans="1:10" ht="80.25" customHeight="1">
      <c r="A451" s="11" t="s">
        <v>1311</v>
      </c>
      <c r="B451" s="11" t="s">
        <v>1312</v>
      </c>
      <c r="C451" s="67">
        <v>1659</v>
      </c>
      <c r="D451" s="93"/>
      <c r="E451" s="94" t="s">
        <v>1509</v>
      </c>
      <c r="F451" s="59"/>
      <c r="G451" s="1"/>
      <c r="J451" s="13"/>
    </row>
    <row r="452" spans="1:10" ht="80.25" customHeight="1">
      <c r="A452" s="11" t="s">
        <v>1313</v>
      </c>
      <c r="B452" s="11" t="s">
        <v>1314</v>
      </c>
      <c r="C452" s="67">
        <v>1679</v>
      </c>
      <c r="D452" s="96"/>
      <c r="E452" s="94" t="s">
        <v>1509</v>
      </c>
      <c r="F452" s="59"/>
      <c r="G452" s="1"/>
      <c r="J452" s="13"/>
    </row>
    <row r="453" spans="1:10" ht="80.25" customHeight="1">
      <c r="A453" s="11" t="s">
        <v>1315</v>
      </c>
      <c r="B453" s="11" t="s">
        <v>1316</v>
      </c>
      <c r="C453" s="67">
        <v>1710</v>
      </c>
      <c r="D453" s="96"/>
      <c r="E453" s="94" t="s">
        <v>1509</v>
      </c>
      <c r="F453" s="59"/>
      <c r="G453" s="1"/>
      <c r="J453" s="13"/>
    </row>
    <row r="454" spans="1:10" ht="80.25" customHeight="1">
      <c r="A454" s="11" t="s">
        <v>1317</v>
      </c>
      <c r="B454" s="11" t="s">
        <v>1318</v>
      </c>
      <c r="C454" s="67">
        <v>1731</v>
      </c>
      <c r="D454" s="96"/>
      <c r="E454" s="94" t="s">
        <v>1509</v>
      </c>
      <c r="F454" s="59"/>
      <c r="G454" s="1"/>
      <c r="J454" s="13"/>
    </row>
    <row r="455" spans="1:10" ht="80.25" customHeight="1">
      <c r="A455" s="11" t="s">
        <v>1319</v>
      </c>
      <c r="B455" s="11" t="s">
        <v>1320</v>
      </c>
      <c r="C455" s="67">
        <v>1751</v>
      </c>
      <c r="D455" s="96"/>
      <c r="E455" s="94" t="s">
        <v>1509</v>
      </c>
      <c r="F455" s="59"/>
      <c r="G455" s="1"/>
      <c r="J455" s="13"/>
    </row>
    <row r="456" spans="1:10" ht="80.25" customHeight="1">
      <c r="A456" s="11" t="s">
        <v>1321</v>
      </c>
      <c r="B456" s="11" t="s">
        <v>1322</v>
      </c>
      <c r="C456" s="67">
        <v>1777</v>
      </c>
      <c r="D456" s="96"/>
      <c r="E456" s="94" t="s">
        <v>1509</v>
      </c>
      <c r="F456" s="59"/>
      <c r="G456" s="1"/>
      <c r="J456" s="13"/>
    </row>
    <row r="457" spans="1:10" ht="80.25" customHeight="1">
      <c r="A457" s="11" t="s">
        <v>1323</v>
      </c>
      <c r="B457" s="11" t="s">
        <v>1324</v>
      </c>
      <c r="C457" s="67">
        <v>1891</v>
      </c>
      <c r="D457" s="92"/>
      <c r="E457" s="94" t="s">
        <v>1509</v>
      </c>
      <c r="F457" s="59"/>
      <c r="G457" s="1"/>
      <c r="J457" s="13"/>
    </row>
    <row r="458" spans="1:10" ht="80.25" customHeight="1">
      <c r="A458" s="11" t="s">
        <v>1325</v>
      </c>
      <c r="B458" s="11" t="s">
        <v>1326</v>
      </c>
      <c r="C458" s="67">
        <v>1911</v>
      </c>
      <c r="D458" s="93"/>
      <c r="E458" s="94" t="s">
        <v>1509</v>
      </c>
      <c r="F458" s="59"/>
      <c r="G458" s="1"/>
      <c r="J458" s="13"/>
    </row>
    <row r="459" spans="1:10" ht="80.25" customHeight="1">
      <c r="A459" s="11" t="s">
        <v>1327</v>
      </c>
      <c r="B459" s="11" t="s">
        <v>1328</v>
      </c>
      <c r="C459" s="67">
        <v>1932</v>
      </c>
      <c r="D459" s="96"/>
      <c r="E459" s="94" t="s">
        <v>1509</v>
      </c>
      <c r="F459" s="59"/>
      <c r="G459" s="1"/>
      <c r="J459" s="13"/>
    </row>
    <row r="460" spans="1:10" ht="80.25" customHeight="1">
      <c r="A460" s="11" t="s">
        <v>1329</v>
      </c>
      <c r="B460" s="11" t="s">
        <v>1330</v>
      </c>
      <c r="C460" s="67">
        <v>1957</v>
      </c>
      <c r="D460" s="96"/>
      <c r="E460" s="94" t="s">
        <v>1509</v>
      </c>
      <c r="F460" s="59"/>
      <c r="G460" s="1"/>
      <c r="J460" s="13"/>
    </row>
    <row r="461" spans="1:10" ht="80.25" customHeight="1">
      <c r="A461" s="11" t="s">
        <v>1331</v>
      </c>
      <c r="B461" s="11" t="s">
        <v>1332</v>
      </c>
      <c r="C461" s="67">
        <v>1973</v>
      </c>
      <c r="D461" s="93"/>
      <c r="E461" s="94" t="s">
        <v>1509</v>
      </c>
      <c r="F461" s="60"/>
      <c r="G461" s="1"/>
      <c r="J461" s="13"/>
    </row>
    <row r="462" spans="1:10" ht="80.25" customHeight="1">
      <c r="A462" s="11" t="s">
        <v>1333</v>
      </c>
      <c r="B462" s="11" t="s">
        <v>1334</v>
      </c>
      <c r="C462" s="67">
        <v>2004</v>
      </c>
      <c r="D462" s="93"/>
      <c r="E462" s="94" t="s">
        <v>1509</v>
      </c>
      <c r="F462" s="60"/>
      <c r="G462" s="1"/>
      <c r="J462" s="13"/>
    </row>
    <row r="463" spans="1:10" ht="80.25" customHeight="1">
      <c r="A463" s="11" t="s">
        <v>1335</v>
      </c>
      <c r="B463" s="11" t="s">
        <v>1336</v>
      </c>
      <c r="C463" s="67">
        <v>2024</v>
      </c>
      <c r="D463" s="93"/>
      <c r="E463" s="94" t="s">
        <v>1509</v>
      </c>
      <c r="F463" s="60"/>
      <c r="G463" s="1"/>
      <c r="J463" s="13"/>
    </row>
    <row r="464" spans="1:10" ht="80.25" customHeight="1">
      <c r="A464" s="11" t="s">
        <v>1337</v>
      </c>
      <c r="B464" s="11" t="s">
        <v>1338</v>
      </c>
      <c r="C464" s="67">
        <v>2050</v>
      </c>
      <c r="D464" s="93"/>
      <c r="E464" s="94" t="s">
        <v>1509</v>
      </c>
      <c r="F464" s="59"/>
      <c r="G464" s="1"/>
      <c r="J464" s="13"/>
    </row>
    <row r="465" spans="1:10" ht="80.25" customHeight="1">
      <c r="A465" s="51" t="s">
        <v>432</v>
      </c>
      <c r="B465" s="11" t="s">
        <v>433</v>
      </c>
      <c r="C465" s="12">
        <v>191</v>
      </c>
      <c r="D465" s="92"/>
      <c r="E465" s="94" t="s">
        <v>1509</v>
      </c>
      <c r="F465" s="59"/>
      <c r="G465" s="1"/>
      <c r="J465" s="13"/>
    </row>
    <row r="466" spans="1:10" ht="80.25" customHeight="1">
      <c r="A466" s="51" t="s">
        <v>434</v>
      </c>
      <c r="B466" s="11" t="s">
        <v>435</v>
      </c>
      <c r="C466" s="12">
        <v>268</v>
      </c>
      <c r="D466" s="92"/>
      <c r="E466" s="94" t="s">
        <v>1509</v>
      </c>
      <c r="F466" s="59"/>
      <c r="G466" s="1"/>
      <c r="J466" s="13"/>
    </row>
    <row r="467" spans="1:10" ht="80.25" customHeight="1">
      <c r="A467" s="51" t="s">
        <v>436</v>
      </c>
      <c r="B467" s="11" t="s">
        <v>437</v>
      </c>
      <c r="C467" s="12">
        <v>541</v>
      </c>
      <c r="D467" s="92"/>
      <c r="E467" s="94" t="s">
        <v>1509</v>
      </c>
      <c r="F467" s="59"/>
      <c r="G467" s="1"/>
      <c r="J467" s="13"/>
    </row>
    <row r="468" spans="1:10" ht="80.25" customHeight="1">
      <c r="A468" s="11" t="s">
        <v>1339</v>
      </c>
      <c r="B468" s="11" t="s">
        <v>1340</v>
      </c>
      <c r="C468" s="67">
        <v>2153</v>
      </c>
      <c r="D468" s="92"/>
      <c r="E468" s="94" t="s">
        <v>1509</v>
      </c>
      <c r="F468" s="59"/>
      <c r="G468" s="1"/>
      <c r="J468" s="13"/>
    </row>
    <row r="469" spans="1:10" ht="80.25" customHeight="1">
      <c r="A469" s="11" t="s">
        <v>1341</v>
      </c>
      <c r="B469" s="11" t="s">
        <v>1342</v>
      </c>
      <c r="C469" s="67">
        <v>2179</v>
      </c>
      <c r="D469" s="92"/>
      <c r="E469" s="94" t="s">
        <v>1509</v>
      </c>
      <c r="F469" s="59"/>
      <c r="G469" s="1"/>
      <c r="J469" s="13"/>
    </row>
    <row r="470" spans="1:10" ht="80.25" customHeight="1">
      <c r="A470" s="11" t="s">
        <v>1343</v>
      </c>
      <c r="B470" s="11" t="s">
        <v>1344</v>
      </c>
      <c r="C470" s="67">
        <v>2210</v>
      </c>
      <c r="D470" s="92"/>
      <c r="E470" s="94" t="s">
        <v>1509</v>
      </c>
      <c r="F470" s="59"/>
      <c r="G470" s="1"/>
      <c r="J470" s="13"/>
    </row>
    <row r="471" spans="1:10" ht="80.25" customHeight="1">
      <c r="A471" s="11" t="s">
        <v>1345</v>
      </c>
      <c r="B471" s="11" t="s">
        <v>1346</v>
      </c>
      <c r="C471" s="67">
        <v>2230</v>
      </c>
      <c r="D471" s="92"/>
      <c r="E471" s="94" t="s">
        <v>1509</v>
      </c>
      <c r="F471" s="59"/>
      <c r="G471" s="1"/>
      <c r="J471" s="13"/>
    </row>
    <row r="472" spans="1:10" ht="80.25" customHeight="1">
      <c r="A472" s="11" t="s">
        <v>1347</v>
      </c>
      <c r="B472" s="11" t="s">
        <v>1348</v>
      </c>
      <c r="C472" s="67">
        <v>2251</v>
      </c>
      <c r="D472" s="92"/>
      <c r="E472" s="94" t="s">
        <v>1509</v>
      </c>
      <c r="F472" s="59"/>
      <c r="G472" s="1"/>
      <c r="J472" s="13"/>
    </row>
    <row r="473" spans="1:10" ht="80.25" customHeight="1">
      <c r="A473" s="11" t="s">
        <v>1349</v>
      </c>
      <c r="B473" s="11" t="s">
        <v>1350</v>
      </c>
      <c r="C473" s="67">
        <v>2277</v>
      </c>
      <c r="D473" s="92"/>
      <c r="E473" s="94" t="s">
        <v>1509</v>
      </c>
      <c r="F473" s="59"/>
      <c r="G473" s="1"/>
      <c r="J473" s="13"/>
    </row>
    <row r="474" spans="1:10" ht="80.25" customHeight="1">
      <c r="A474" s="11" t="s">
        <v>1351</v>
      </c>
      <c r="B474" s="11" t="s">
        <v>1352</v>
      </c>
      <c r="C474" s="67">
        <v>2297</v>
      </c>
      <c r="D474" s="92"/>
      <c r="E474" s="94" t="s">
        <v>1509</v>
      </c>
      <c r="F474" s="59"/>
      <c r="G474" s="1"/>
      <c r="J474" s="13"/>
    </row>
    <row r="475" spans="1:10" ht="80.25" customHeight="1">
      <c r="A475" s="11" t="s">
        <v>1353</v>
      </c>
      <c r="B475" s="11" t="s">
        <v>1354</v>
      </c>
      <c r="C475" s="67">
        <v>2323</v>
      </c>
      <c r="D475" s="92"/>
      <c r="E475" s="94" t="s">
        <v>1509</v>
      </c>
      <c r="F475" s="59"/>
      <c r="G475" s="1"/>
      <c r="J475" s="13"/>
    </row>
    <row r="476" spans="1:10" ht="80.25" customHeight="1">
      <c r="A476" s="51" t="s">
        <v>438</v>
      </c>
      <c r="B476" s="11" t="s">
        <v>439</v>
      </c>
      <c r="C476" s="12">
        <v>526</v>
      </c>
      <c r="D476" s="92"/>
      <c r="E476" s="94" t="s">
        <v>1509</v>
      </c>
      <c r="F476" s="59"/>
      <c r="G476" s="1"/>
      <c r="J476" s="13"/>
    </row>
    <row r="477" spans="1:10" ht="80.25" customHeight="1">
      <c r="A477" s="11" t="s">
        <v>1355</v>
      </c>
      <c r="B477" s="11" t="s">
        <v>1356</v>
      </c>
      <c r="C477" s="67">
        <v>1180</v>
      </c>
      <c r="D477" s="92"/>
      <c r="E477" s="94" t="s">
        <v>1509</v>
      </c>
      <c r="F477" s="59"/>
      <c r="G477" s="1"/>
      <c r="J477" s="13"/>
    </row>
    <row r="478" spans="1:10" ht="80.25" customHeight="1">
      <c r="A478" s="11" t="s">
        <v>1357</v>
      </c>
      <c r="B478" s="11" t="s">
        <v>1358</v>
      </c>
      <c r="C478" s="67">
        <v>1180</v>
      </c>
      <c r="D478" s="92"/>
      <c r="E478" s="94" t="s">
        <v>1509</v>
      </c>
      <c r="F478" s="59"/>
      <c r="G478" s="1"/>
      <c r="J478" s="13"/>
    </row>
    <row r="479" spans="1:10" ht="80.25" customHeight="1">
      <c r="A479" s="11" t="s">
        <v>1359</v>
      </c>
      <c r="B479" s="11" t="s">
        <v>1360</v>
      </c>
      <c r="C479" s="67">
        <v>721</v>
      </c>
      <c r="D479" s="92"/>
      <c r="E479" s="94" t="s">
        <v>1509</v>
      </c>
      <c r="F479" s="59"/>
      <c r="G479" s="1"/>
      <c r="J479" s="13"/>
    </row>
    <row r="480" spans="1:10" ht="80.25" customHeight="1">
      <c r="A480" s="11" t="s">
        <v>1361</v>
      </c>
      <c r="B480" s="11" t="s">
        <v>1362</v>
      </c>
      <c r="C480" s="67">
        <v>721</v>
      </c>
      <c r="D480" s="92"/>
      <c r="E480" s="94" t="s">
        <v>1509</v>
      </c>
      <c r="F480" s="59"/>
      <c r="G480" s="1"/>
      <c r="J480" s="13"/>
    </row>
    <row r="481" spans="1:10" ht="80.25" customHeight="1">
      <c r="A481" s="11" t="s">
        <v>1363</v>
      </c>
      <c r="B481" s="11" t="s">
        <v>1364</v>
      </c>
      <c r="C481" s="67">
        <v>732</v>
      </c>
      <c r="D481" s="92"/>
      <c r="E481" s="94" t="s">
        <v>1509</v>
      </c>
      <c r="F481" s="59"/>
      <c r="G481" s="1"/>
      <c r="J481" s="13"/>
    </row>
    <row r="482" spans="1:10" ht="80.25" customHeight="1">
      <c r="A482" s="11" t="s">
        <v>1365</v>
      </c>
      <c r="B482" s="11" t="s">
        <v>1366</v>
      </c>
      <c r="C482" s="67">
        <v>732</v>
      </c>
      <c r="D482" s="92"/>
      <c r="E482" s="94" t="s">
        <v>1509</v>
      </c>
      <c r="F482" s="59"/>
      <c r="G482" s="1"/>
      <c r="J482" s="13"/>
    </row>
    <row r="483" spans="1:10" ht="80.25" customHeight="1">
      <c r="A483" s="11" t="s">
        <v>1367</v>
      </c>
      <c r="B483" s="11" t="s">
        <v>1368</v>
      </c>
      <c r="C483" s="67">
        <v>732</v>
      </c>
      <c r="D483" s="92"/>
      <c r="E483" s="94" t="s">
        <v>1509</v>
      </c>
      <c r="F483" s="59"/>
      <c r="G483" s="1"/>
      <c r="J483" s="13"/>
    </row>
    <row r="484" spans="1:10" ht="80.25" customHeight="1">
      <c r="A484" s="11" t="s">
        <v>1369</v>
      </c>
      <c r="B484" s="11" t="s">
        <v>1370</v>
      </c>
      <c r="C484" s="67">
        <v>732</v>
      </c>
      <c r="D484" s="92"/>
      <c r="E484" s="94" t="s">
        <v>1509</v>
      </c>
      <c r="F484" s="59"/>
      <c r="G484" s="1"/>
      <c r="J484" s="13"/>
    </row>
    <row r="485" spans="1:10" ht="80.25" customHeight="1">
      <c r="A485" s="11" t="s">
        <v>1371</v>
      </c>
      <c r="B485" s="11" t="s">
        <v>1372</v>
      </c>
      <c r="C485" s="67">
        <v>742</v>
      </c>
      <c r="D485" s="94"/>
      <c r="E485" s="94" t="s">
        <v>1509</v>
      </c>
      <c r="F485" s="60"/>
      <c r="G485" s="1"/>
      <c r="J485" s="13"/>
    </row>
    <row r="486" spans="1:10" ht="80.25" customHeight="1">
      <c r="A486" s="11" t="s">
        <v>1373</v>
      </c>
      <c r="B486" s="11" t="s">
        <v>1374</v>
      </c>
      <c r="C486" s="67">
        <v>742</v>
      </c>
      <c r="D486" s="94"/>
      <c r="E486" s="94" t="s">
        <v>1509</v>
      </c>
      <c r="F486" s="60"/>
      <c r="G486" s="1"/>
      <c r="J486" s="13"/>
    </row>
    <row r="487" spans="1:10" ht="80.25" customHeight="1">
      <c r="A487" s="11" t="s">
        <v>1375</v>
      </c>
      <c r="B487" s="11" t="s">
        <v>1376</v>
      </c>
      <c r="C487" s="67">
        <v>742</v>
      </c>
      <c r="D487" s="94"/>
      <c r="E487" s="94" t="s">
        <v>1509</v>
      </c>
      <c r="F487" s="60"/>
      <c r="G487" s="1"/>
      <c r="J487" s="13"/>
    </row>
    <row r="488" spans="1:10" ht="80.25" customHeight="1">
      <c r="A488" s="11" t="s">
        <v>1377</v>
      </c>
      <c r="B488" s="11" t="s">
        <v>1378</v>
      </c>
      <c r="C488" s="67">
        <v>742</v>
      </c>
      <c r="D488" s="94"/>
      <c r="E488" s="94" t="s">
        <v>1509</v>
      </c>
      <c r="F488" s="60"/>
      <c r="G488" s="1"/>
      <c r="J488" s="13"/>
    </row>
    <row r="489" spans="1:10" ht="80.25" customHeight="1">
      <c r="A489" s="11" t="s">
        <v>1379</v>
      </c>
      <c r="B489" s="11" t="s">
        <v>1380</v>
      </c>
      <c r="C489" s="67">
        <v>752</v>
      </c>
      <c r="D489" s="94"/>
      <c r="E489" s="94" t="s">
        <v>1509</v>
      </c>
      <c r="F489" s="60"/>
      <c r="G489" s="1"/>
      <c r="J489" s="13"/>
    </row>
    <row r="490" spans="1:10" ht="80.25" customHeight="1">
      <c r="A490" s="11" t="s">
        <v>1381</v>
      </c>
      <c r="B490" s="11" t="s">
        <v>1382</v>
      </c>
      <c r="C490" s="67">
        <v>752</v>
      </c>
      <c r="D490" s="94"/>
      <c r="E490" s="94" t="s">
        <v>1509</v>
      </c>
      <c r="F490" s="60"/>
      <c r="G490" s="1"/>
      <c r="J490" s="13"/>
    </row>
    <row r="491" spans="1:10" ht="80.25" customHeight="1">
      <c r="A491" s="51" t="s">
        <v>440</v>
      </c>
      <c r="B491" s="11" t="s">
        <v>441</v>
      </c>
      <c r="C491" s="12">
        <v>263</v>
      </c>
      <c r="D491" s="92"/>
      <c r="E491" s="92" t="s">
        <v>1495</v>
      </c>
      <c r="F491" s="59"/>
      <c r="G491" s="1"/>
      <c r="J491" s="13"/>
    </row>
    <row r="492" spans="1:10" ht="80.25" customHeight="1">
      <c r="A492" s="51" t="s">
        <v>442</v>
      </c>
      <c r="B492" s="11" t="s">
        <v>443</v>
      </c>
      <c r="C492" s="12">
        <v>-191</v>
      </c>
      <c r="D492" s="92"/>
      <c r="E492" s="92" t="s">
        <v>1495</v>
      </c>
      <c r="F492" s="59"/>
      <c r="G492" s="1"/>
      <c r="J492" s="13"/>
    </row>
    <row r="493" spans="1:10" ht="80.25" customHeight="1">
      <c r="A493" s="51" t="s">
        <v>444</v>
      </c>
      <c r="B493" s="11" t="s">
        <v>445</v>
      </c>
      <c r="C493" s="12">
        <v>490</v>
      </c>
      <c r="D493" s="96"/>
      <c r="E493" s="96" t="s">
        <v>1495</v>
      </c>
      <c r="F493" s="59"/>
      <c r="G493" s="1"/>
      <c r="J493" s="13"/>
    </row>
    <row r="494" spans="1:10" ht="80.25" customHeight="1">
      <c r="A494" s="51" t="s">
        <v>446</v>
      </c>
      <c r="B494" s="11" t="s">
        <v>447</v>
      </c>
      <c r="C494" s="12">
        <v>114</v>
      </c>
      <c r="D494" s="92"/>
      <c r="E494" s="92" t="s">
        <v>1495</v>
      </c>
      <c r="F494" s="59"/>
      <c r="G494" s="1"/>
      <c r="J494" s="13"/>
    </row>
    <row r="495" spans="1:10" ht="80.25" customHeight="1">
      <c r="A495" s="51" t="s">
        <v>449</v>
      </c>
      <c r="B495" s="11" t="s">
        <v>450</v>
      </c>
      <c r="C495" s="12">
        <v>165</v>
      </c>
      <c r="D495" s="92"/>
      <c r="E495" s="92" t="s">
        <v>1495</v>
      </c>
      <c r="F495" s="59"/>
      <c r="G495" s="1"/>
      <c r="J495" s="13"/>
    </row>
    <row r="496" spans="1:10" ht="80.25" customHeight="1">
      <c r="A496" s="51" t="s">
        <v>451</v>
      </c>
      <c r="B496" s="11" t="s">
        <v>452</v>
      </c>
      <c r="C496" s="12">
        <v>181</v>
      </c>
      <c r="D496" s="96"/>
      <c r="E496" s="96" t="s">
        <v>1495</v>
      </c>
      <c r="F496" s="59"/>
      <c r="G496" s="1"/>
      <c r="J496" s="13"/>
    </row>
    <row r="497" spans="1:10" ht="80.25" customHeight="1">
      <c r="A497" s="51" t="s">
        <v>453</v>
      </c>
      <c r="B497" s="11" t="s">
        <v>454</v>
      </c>
      <c r="C497" s="12">
        <v>-165</v>
      </c>
      <c r="D497" s="97"/>
      <c r="E497" s="97" t="s">
        <v>1495</v>
      </c>
      <c r="F497" s="59"/>
      <c r="G497" s="1"/>
      <c r="J497" s="13"/>
    </row>
    <row r="498" spans="1:10" ht="80.25" customHeight="1">
      <c r="A498" s="51" t="s">
        <v>455</v>
      </c>
      <c r="B498" s="11" t="s">
        <v>456</v>
      </c>
      <c r="C498" s="12">
        <v>-124</v>
      </c>
      <c r="D498" s="96"/>
      <c r="E498" s="96" t="s">
        <v>1495</v>
      </c>
      <c r="F498" s="59"/>
      <c r="G498" s="1"/>
      <c r="J498" s="13"/>
    </row>
    <row r="499" spans="1:10" ht="80.25" customHeight="1">
      <c r="A499" s="51" t="s">
        <v>457</v>
      </c>
      <c r="B499" s="11" t="s">
        <v>458</v>
      </c>
      <c r="C499" s="12">
        <v>541</v>
      </c>
      <c r="D499" s="96"/>
      <c r="E499" s="96" t="s">
        <v>1495</v>
      </c>
      <c r="F499" s="59"/>
      <c r="G499" s="1"/>
      <c r="J499" s="13"/>
    </row>
    <row r="500" spans="1:10" ht="80.25" customHeight="1">
      <c r="A500" s="51" t="s">
        <v>459</v>
      </c>
      <c r="B500" s="11" t="s">
        <v>460</v>
      </c>
      <c r="C500" s="12">
        <v>-181</v>
      </c>
      <c r="D500" s="96"/>
      <c r="E500" s="96" t="s">
        <v>1495</v>
      </c>
      <c r="F500" s="60"/>
      <c r="G500" s="1"/>
      <c r="J500" s="13"/>
    </row>
    <row r="501" spans="1:10" ht="80.25" customHeight="1">
      <c r="A501" s="25" t="s">
        <v>98</v>
      </c>
      <c r="B501" s="11" t="s">
        <v>99</v>
      </c>
      <c r="C501" s="86">
        <v>1571</v>
      </c>
      <c r="D501" s="96"/>
      <c r="E501" s="96" t="s">
        <v>1495</v>
      </c>
      <c r="F501" s="60"/>
      <c r="G501" s="1"/>
      <c r="J501" s="13"/>
    </row>
    <row r="502" spans="1:10" ht="80.25" customHeight="1">
      <c r="A502" s="11" t="s">
        <v>461</v>
      </c>
      <c r="B502" s="11" t="s">
        <v>462</v>
      </c>
      <c r="C502" s="12">
        <v>464</v>
      </c>
      <c r="D502" s="96"/>
      <c r="E502" s="96" t="s">
        <v>1495</v>
      </c>
      <c r="F502" s="60"/>
      <c r="G502" s="1"/>
      <c r="J502" s="13"/>
    </row>
    <row r="503" spans="1:10" ht="80.25" customHeight="1">
      <c r="A503" s="11" t="s">
        <v>463</v>
      </c>
      <c r="B503" s="11" t="s">
        <v>464</v>
      </c>
      <c r="C503" s="12">
        <v>464</v>
      </c>
      <c r="D503" s="96"/>
      <c r="E503" s="96" t="s">
        <v>1495</v>
      </c>
      <c r="F503" s="59"/>
      <c r="G503" s="1"/>
      <c r="J503" s="13"/>
    </row>
    <row r="504" spans="1:10" s="62" customFormat="1" ht="80.25" customHeight="1">
      <c r="A504" s="11" t="s">
        <v>465</v>
      </c>
      <c r="B504" s="11" t="s">
        <v>466</v>
      </c>
      <c r="C504" s="12">
        <v>124</v>
      </c>
      <c r="D504" s="96"/>
      <c r="E504" s="96" t="s">
        <v>1495</v>
      </c>
      <c r="J504" s="63"/>
    </row>
    <row r="505" spans="1:10" s="62" customFormat="1" ht="80.25" customHeight="1">
      <c r="A505" s="51" t="s">
        <v>467</v>
      </c>
      <c r="B505" s="11" t="s">
        <v>468</v>
      </c>
      <c r="C505" s="12">
        <v>124</v>
      </c>
      <c r="D505" s="96"/>
      <c r="E505" s="96" t="s">
        <v>1495</v>
      </c>
      <c r="J505" s="63"/>
    </row>
    <row r="506" spans="1:10" s="62" customFormat="1" ht="80.25" customHeight="1">
      <c r="A506" s="51" t="s">
        <v>469</v>
      </c>
      <c r="B506" s="11" t="s">
        <v>470</v>
      </c>
      <c r="C506" s="12">
        <v>824</v>
      </c>
      <c r="D506" s="98"/>
      <c r="E506" s="98" t="s">
        <v>1495</v>
      </c>
      <c r="J506" s="63"/>
    </row>
    <row r="507" spans="1:10" s="62" customFormat="1" ht="80.25" customHeight="1">
      <c r="A507" s="11" t="s">
        <v>471</v>
      </c>
      <c r="B507" s="11" t="s">
        <v>472</v>
      </c>
      <c r="C507" s="12">
        <v>758</v>
      </c>
      <c r="D507" s="96"/>
      <c r="E507" s="96" t="s">
        <v>1495</v>
      </c>
      <c r="J507" s="63"/>
    </row>
    <row r="508" spans="1:10" ht="80.25" customHeight="1">
      <c r="A508" s="51" t="s">
        <v>473</v>
      </c>
      <c r="B508" s="11" t="s">
        <v>474</v>
      </c>
      <c r="C508" s="12">
        <v>1005</v>
      </c>
      <c r="D508" s="96"/>
      <c r="E508" s="96" t="s">
        <v>1495</v>
      </c>
      <c r="F508" s="59"/>
      <c r="G508" s="1"/>
      <c r="J508" s="13"/>
    </row>
    <row r="509" spans="1:10" ht="80.25" customHeight="1">
      <c r="A509" s="11" t="s">
        <v>475</v>
      </c>
      <c r="B509" s="11" t="s">
        <v>476</v>
      </c>
      <c r="C509" s="12">
        <v>938</v>
      </c>
      <c r="D509" s="96"/>
      <c r="E509" s="96" t="s">
        <v>1495</v>
      </c>
      <c r="F509" s="59"/>
      <c r="G509" s="1"/>
      <c r="J509" s="13"/>
    </row>
    <row r="510" spans="1:10" ht="80.25" customHeight="1">
      <c r="A510" s="51" t="s">
        <v>477</v>
      </c>
      <c r="B510" s="11" t="s">
        <v>478</v>
      </c>
      <c r="C510" s="12">
        <v>-299</v>
      </c>
      <c r="D510" s="96"/>
      <c r="E510" s="96" t="s">
        <v>1495</v>
      </c>
      <c r="F510" s="59"/>
      <c r="G510" s="1"/>
      <c r="J510" s="13"/>
    </row>
    <row r="511" spans="1:10" ht="80.25" customHeight="1">
      <c r="A511" s="25" t="s">
        <v>100</v>
      </c>
      <c r="B511" s="11" t="s">
        <v>101</v>
      </c>
      <c r="C511" s="12">
        <v>1489</v>
      </c>
      <c r="D511" s="96"/>
      <c r="E511" s="96" t="s">
        <v>1495</v>
      </c>
      <c r="F511" s="59"/>
      <c r="G511" s="1"/>
      <c r="J511" s="13"/>
    </row>
    <row r="512" spans="1:10" ht="80.25" customHeight="1">
      <c r="A512" s="11" t="s">
        <v>479</v>
      </c>
      <c r="B512" s="11" t="s">
        <v>480</v>
      </c>
      <c r="C512" s="12">
        <v>67</v>
      </c>
      <c r="D512" s="96"/>
      <c r="E512" s="96" t="s">
        <v>1495</v>
      </c>
      <c r="F512" s="59"/>
      <c r="G512" s="1"/>
      <c r="J512" s="13"/>
    </row>
    <row r="513" spans="1:10" s="62" customFormat="1" ht="80.25" customHeight="1">
      <c r="A513" s="25" t="s">
        <v>90</v>
      </c>
      <c r="B513" s="11" t="s">
        <v>91</v>
      </c>
      <c r="C513" s="12">
        <v>4316</v>
      </c>
      <c r="D513" s="96"/>
      <c r="E513" s="96" t="s">
        <v>1495</v>
      </c>
      <c r="F513" s="71"/>
      <c r="G513" s="71"/>
      <c r="J513" s="63"/>
    </row>
    <row r="514" spans="1:10" ht="80.25" customHeight="1">
      <c r="A514" s="11" t="s">
        <v>481</v>
      </c>
      <c r="B514" s="11" t="s">
        <v>482</v>
      </c>
      <c r="C514" s="12">
        <v>248</v>
      </c>
      <c r="D514" s="96"/>
      <c r="E514" s="96" t="s">
        <v>1495</v>
      </c>
      <c r="F514" s="59"/>
      <c r="G514" s="1"/>
      <c r="J514" s="13"/>
    </row>
    <row r="515" spans="1:10" ht="80.25" customHeight="1">
      <c r="A515" s="11" t="s">
        <v>483</v>
      </c>
      <c r="B515" s="11" t="s">
        <v>482</v>
      </c>
      <c r="C515" s="12">
        <v>248</v>
      </c>
      <c r="D515" s="96"/>
      <c r="E515" s="96" t="s">
        <v>1495</v>
      </c>
      <c r="F515" s="59"/>
      <c r="G515" s="1"/>
      <c r="J515" s="13"/>
    </row>
    <row r="516" spans="1:10" ht="80.25" customHeight="1">
      <c r="A516" s="25" t="s">
        <v>104</v>
      </c>
      <c r="B516" s="11" t="s">
        <v>105</v>
      </c>
      <c r="C516" s="12">
        <v>773</v>
      </c>
      <c r="D516" s="96"/>
      <c r="E516" s="96" t="s">
        <v>1495</v>
      </c>
      <c r="F516" s="59"/>
      <c r="G516" s="1"/>
      <c r="J516" s="13"/>
    </row>
    <row r="517" spans="1:10" ht="80.25" customHeight="1">
      <c r="A517" s="25" t="s">
        <v>102</v>
      </c>
      <c r="B517" s="11" t="s">
        <v>103</v>
      </c>
      <c r="C517" s="12">
        <v>1396</v>
      </c>
      <c r="D517" s="96"/>
      <c r="E517" s="96" t="s">
        <v>1495</v>
      </c>
      <c r="F517" s="59"/>
      <c r="G517" s="1"/>
      <c r="J517" s="13"/>
    </row>
    <row r="518" spans="1:10" ht="80.25" customHeight="1">
      <c r="A518" s="11" t="s">
        <v>484</v>
      </c>
      <c r="B518" s="11" t="s">
        <v>485</v>
      </c>
      <c r="C518" s="12">
        <v>1442</v>
      </c>
      <c r="D518" s="96"/>
      <c r="E518" s="96" t="s">
        <v>1495</v>
      </c>
      <c r="F518" s="59"/>
      <c r="G518" s="1"/>
      <c r="J518" s="13"/>
    </row>
    <row r="519" spans="1:10" s="62" customFormat="1" ht="80.25" customHeight="1">
      <c r="A519" s="11" t="s">
        <v>486</v>
      </c>
      <c r="B519" s="11" t="s">
        <v>487</v>
      </c>
      <c r="C519" s="12">
        <v>922</v>
      </c>
      <c r="D519" s="96"/>
      <c r="E519" s="96" t="s">
        <v>1495</v>
      </c>
      <c r="F519" s="61"/>
      <c r="J519" s="63"/>
    </row>
    <row r="520" spans="1:10" ht="80.25" customHeight="1">
      <c r="A520" s="11" t="s">
        <v>488</v>
      </c>
      <c r="B520" s="11" t="s">
        <v>489</v>
      </c>
      <c r="C520" s="12">
        <v>222</v>
      </c>
      <c r="D520" s="96"/>
      <c r="E520" s="96" t="s">
        <v>1495</v>
      </c>
      <c r="F520" s="59"/>
      <c r="G520" s="1"/>
      <c r="J520" s="13"/>
    </row>
    <row r="521" spans="1:10" s="62" customFormat="1" ht="80.25" customHeight="1">
      <c r="A521" s="11" t="s">
        <v>490</v>
      </c>
      <c r="B521" s="11" t="s">
        <v>491</v>
      </c>
      <c r="C521" s="12">
        <v>479</v>
      </c>
      <c r="D521" s="96"/>
      <c r="E521" s="96" t="s">
        <v>1495</v>
      </c>
      <c r="F521" s="61"/>
      <c r="J521" s="63"/>
    </row>
    <row r="522" spans="1:10" ht="80.25" customHeight="1">
      <c r="A522" s="11" t="s">
        <v>492</v>
      </c>
      <c r="B522" s="11" t="s">
        <v>493</v>
      </c>
      <c r="C522" s="12">
        <v>73</v>
      </c>
      <c r="D522" s="96"/>
      <c r="E522" s="96" t="s">
        <v>1495</v>
      </c>
      <c r="F522" s="59"/>
      <c r="G522" s="1"/>
      <c r="J522" s="13"/>
    </row>
    <row r="523" spans="1:10" ht="80.25" customHeight="1">
      <c r="A523" s="11" t="s">
        <v>494</v>
      </c>
      <c r="B523" s="11" t="s">
        <v>495</v>
      </c>
      <c r="C523" s="12">
        <v>881</v>
      </c>
      <c r="D523" s="92"/>
      <c r="E523" s="92" t="s">
        <v>1495</v>
      </c>
      <c r="F523" s="59"/>
      <c r="G523" s="1"/>
      <c r="J523" s="13"/>
    </row>
    <row r="524" spans="1:10" ht="80.25" customHeight="1">
      <c r="A524" s="11" t="s">
        <v>496</v>
      </c>
      <c r="B524" s="11" t="s">
        <v>497</v>
      </c>
      <c r="C524" s="12">
        <v>299</v>
      </c>
      <c r="D524" s="96"/>
      <c r="E524" s="96" t="s">
        <v>1495</v>
      </c>
      <c r="F524" s="59"/>
      <c r="G524" s="1"/>
      <c r="J524" s="13"/>
    </row>
    <row r="525" spans="1:10" ht="80.25" customHeight="1">
      <c r="A525" s="11" t="s">
        <v>498</v>
      </c>
      <c r="B525" s="11" t="s">
        <v>499</v>
      </c>
      <c r="C525" s="12">
        <v>474</v>
      </c>
      <c r="D525" s="96"/>
      <c r="E525" s="96" t="s">
        <v>1495</v>
      </c>
      <c r="F525" s="59"/>
      <c r="G525" s="1"/>
      <c r="J525" s="13"/>
    </row>
    <row r="526" spans="1:10" ht="80.25" customHeight="1">
      <c r="A526" s="11" t="s">
        <v>500</v>
      </c>
      <c r="B526" s="11" t="s">
        <v>501</v>
      </c>
      <c r="C526" s="12">
        <v>26</v>
      </c>
      <c r="D526" s="92"/>
      <c r="E526" s="92" t="s">
        <v>1495</v>
      </c>
      <c r="F526" s="59"/>
      <c r="G526" s="1"/>
      <c r="J526" s="13"/>
    </row>
    <row r="527" spans="1:10" ht="80.25" customHeight="1">
      <c r="A527" s="11" t="s">
        <v>502</v>
      </c>
      <c r="B527" s="11" t="s">
        <v>503</v>
      </c>
      <c r="C527" s="12">
        <v>52</v>
      </c>
      <c r="D527" s="92"/>
      <c r="E527" s="92" t="s">
        <v>1495</v>
      </c>
      <c r="F527" s="59"/>
      <c r="G527" s="1"/>
      <c r="J527" s="13"/>
    </row>
    <row r="528" spans="1:10" ht="80.25" customHeight="1">
      <c r="A528" s="11" t="s">
        <v>504</v>
      </c>
      <c r="B528" s="11" t="s">
        <v>505</v>
      </c>
      <c r="C528" s="12">
        <v>62</v>
      </c>
      <c r="D528" s="96"/>
      <c r="E528" s="96" t="s">
        <v>1495</v>
      </c>
      <c r="F528" s="59"/>
      <c r="G528" s="1"/>
      <c r="J528" s="13"/>
    </row>
    <row r="529" spans="1:10" ht="80.25" customHeight="1">
      <c r="A529" s="11" t="s">
        <v>506</v>
      </c>
      <c r="B529" s="11" t="s">
        <v>507</v>
      </c>
      <c r="C529" s="12">
        <v>52</v>
      </c>
      <c r="D529" s="96"/>
      <c r="E529" s="96" t="s">
        <v>1495</v>
      </c>
      <c r="F529" s="59"/>
      <c r="G529" s="1"/>
      <c r="J529" s="13"/>
    </row>
    <row r="530" spans="1:10" ht="80.25" customHeight="1">
      <c r="A530" s="11" t="s">
        <v>508</v>
      </c>
      <c r="B530" s="11" t="s">
        <v>509</v>
      </c>
      <c r="C530" s="12">
        <v>62</v>
      </c>
      <c r="D530" s="96"/>
      <c r="E530" s="96" t="s">
        <v>1495</v>
      </c>
      <c r="F530" s="59"/>
      <c r="G530" s="1"/>
      <c r="J530" s="13"/>
    </row>
    <row r="531" spans="1:10" ht="80.25" customHeight="1">
      <c r="A531" s="11" t="s">
        <v>510</v>
      </c>
      <c r="B531" s="11" t="s">
        <v>511</v>
      </c>
      <c r="C531" s="12">
        <v>52</v>
      </c>
      <c r="D531" s="96"/>
      <c r="E531" s="96" t="s">
        <v>1495</v>
      </c>
      <c r="F531" s="59"/>
      <c r="G531" s="1"/>
      <c r="J531" s="13"/>
    </row>
    <row r="532" spans="1:10" ht="80.25" customHeight="1">
      <c r="A532" s="11" t="s">
        <v>512</v>
      </c>
      <c r="B532" s="11" t="s">
        <v>513</v>
      </c>
      <c r="C532" s="12">
        <v>62</v>
      </c>
      <c r="D532" s="96"/>
      <c r="E532" s="96" t="s">
        <v>1495</v>
      </c>
      <c r="F532" s="59"/>
      <c r="G532" s="1"/>
      <c r="J532" s="13"/>
    </row>
    <row r="533" spans="1:10" ht="80.25" customHeight="1">
      <c r="A533" s="11" t="s">
        <v>514</v>
      </c>
      <c r="B533" s="11" t="s">
        <v>515</v>
      </c>
      <c r="C533" s="12">
        <v>52</v>
      </c>
      <c r="D533" s="96"/>
      <c r="E533" s="96" t="s">
        <v>1495</v>
      </c>
      <c r="F533" s="59"/>
      <c r="G533" s="1"/>
      <c r="J533" s="13"/>
    </row>
    <row r="534" spans="1:10" ht="80.25" customHeight="1">
      <c r="A534" s="11" t="s">
        <v>516</v>
      </c>
      <c r="B534" s="11" t="s">
        <v>517</v>
      </c>
      <c r="C534" s="12">
        <v>62</v>
      </c>
      <c r="D534" s="96"/>
      <c r="E534" s="96" t="s">
        <v>1495</v>
      </c>
      <c r="F534" s="59"/>
      <c r="G534" s="1"/>
      <c r="J534" s="13"/>
    </row>
    <row r="535" spans="1:10" ht="80.25" customHeight="1">
      <c r="A535" s="51" t="s">
        <v>518</v>
      </c>
      <c r="B535" s="11" t="s">
        <v>519</v>
      </c>
      <c r="C535" s="12">
        <v>52</v>
      </c>
      <c r="D535" s="96"/>
      <c r="E535" s="96" t="s">
        <v>1495</v>
      </c>
      <c r="F535" s="59"/>
      <c r="G535" s="1"/>
      <c r="J535" s="13"/>
    </row>
    <row r="536" spans="1:10" ht="80.25" customHeight="1">
      <c r="A536" s="51" t="s">
        <v>520</v>
      </c>
      <c r="B536" s="11" t="s">
        <v>521</v>
      </c>
      <c r="C536" s="12">
        <v>62</v>
      </c>
      <c r="D536" s="96"/>
      <c r="E536" s="96" t="s">
        <v>1495</v>
      </c>
      <c r="F536" s="59"/>
      <c r="G536" s="1"/>
      <c r="J536" s="13"/>
    </row>
    <row r="537" spans="1:10" ht="80.25" customHeight="1">
      <c r="A537" s="11" t="s">
        <v>522</v>
      </c>
      <c r="B537" s="11" t="s">
        <v>523</v>
      </c>
      <c r="C537" s="12">
        <v>52</v>
      </c>
      <c r="D537" s="96"/>
      <c r="E537" s="96" t="s">
        <v>1495</v>
      </c>
      <c r="F537" s="59"/>
      <c r="G537" s="1"/>
      <c r="J537" s="13"/>
    </row>
    <row r="538" spans="1:10" ht="80.25" customHeight="1">
      <c r="A538" s="11" t="s">
        <v>524</v>
      </c>
      <c r="B538" s="11" t="s">
        <v>525</v>
      </c>
      <c r="C538" s="12">
        <v>52</v>
      </c>
      <c r="D538" s="96"/>
      <c r="E538" s="96" t="s">
        <v>1495</v>
      </c>
      <c r="F538" s="59"/>
      <c r="G538" s="1"/>
      <c r="J538" s="13"/>
    </row>
    <row r="539" spans="1:10" ht="80.25" customHeight="1">
      <c r="A539" s="11" t="s">
        <v>526</v>
      </c>
      <c r="B539" s="11" t="s">
        <v>527</v>
      </c>
      <c r="C539" s="12">
        <v>52</v>
      </c>
      <c r="D539" s="96"/>
      <c r="E539" s="96" t="s">
        <v>1495</v>
      </c>
      <c r="F539" s="59"/>
      <c r="G539" s="1"/>
      <c r="J539" s="13"/>
    </row>
    <row r="540" spans="1:10" ht="80.25" customHeight="1">
      <c r="A540" s="51" t="s">
        <v>528</v>
      </c>
      <c r="B540" s="11" t="s">
        <v>529</v>
      </c>
      <c r="C540" s="12">
        <v>52</v>
      </c>
      <c r="D540" s="96"/>
      <c r="E540" s="96" t="s">
        <v>1495</v>
      </c>
      <c r="F540" s="59"/>
      <c r="G540" s="1"/>
      <c r="J540" s="13"/>
    </row>
    <row r="541" spans="1:10" ht="80.25" customHeight="1">
      <c r="A541" s="51" t="s">
        <v>530</v>
      </c>
      <c r="B541" s="11" t="s">
        <v>531</v>
      </c>
      <c r="C541" s="12">
        <v>62</v>
      </c>
      <c r="D541" s="96"/>
      <c r="E541" s="96" t="s">
        <v>1495</v>
      </c>
      <c r="F541" s="59"/>
      <c r="G541" s="1"/>
      <c r="J541" s="13"/>
    </row>
    <row r="542" spans="1:10" ht="80.25" customHeight="1">
      <c r="A542" s="11" t="s">
        <v>532</v>
      </c>
      <c r="B542" s="11" t="s">
        <v>533</v>
      </c>
      <c r="C542" s="12">
        <v>711</v>
      </c>
      <c r="D542" s="96"/>
      <c r="E542" s="96" t="s">
        <v>1495</v>
      </c>
      <c r="F542" s="59"/>
      <c r="G542" s="1"/>
      <c r="J542" s="13"/>
    </row>
    <row r="543" spans="1:10" ht="80.25" customHeight="1">
      <c r="A543" s="11" t="s">
        <v>534</v>
      </c>
      <c r="B543" s="11" t="s">
        <v>535</v>
      </c>
      <c r="C543" s="12">
        <v>680</v>
      </c>
      <c r="D543" s="96"/>
      <c r="E543" s="96" t="s">
        <v>1495</v>
      </c>
      <c r="F543" s="59"/>
      <c r="G543" s="1"/>
      <c r="J543" s="13"/>
    </row>
    <row r="544" spans="1:10" ht="80.25" customHeight="1">
      <c r="A544" s="51" t="s">
        <v>536</v>
      </c>
      <c r="B544" s="11" t="s">
        <v>537</v>
      </c>
      <c r="C544" s="12">
        <v>490</v>
      </c>
      <c r="D544" s="96"/>
      <c r="E544" s="96" t="s">
        <v>1495</v>
      </c>
      <c r="F544" s="59"/>
      <c r="G544" s="1"/>
      <c r="J544" s="13"/>
    </row>
    <row r="545" spans="1:10" ht="80.25" customHeight="1">
      <c r="A545" s="51" t="s">
        <v>538</v>
      </c>
      <c r="B545" s="11" t="s">
        <v>539</v>
      </c>
      <c r="C545" s="12">
        <v>541</v>
      </c>
      <c r="D545" s="96"/>
      <c r="E545" s="96" t="s">
        <v>1495</v>
      </c>
      <c r="F545" s="59"/>
      <c r="G545" s="1"/>
      <c r="J545" s="13"/>
    </row>
    <row r="546" spans="1:10" ht="80.25" customHeight="1">
      <c r="A546" s="51" t="s">
        <v>540</v>
      </c>
      <c r="B546" s="11" t="s">
        <v>541</v>
      </c>
      <c r="C546" s="12">
        <v>490</v>
      </c>
      <c r="D546" s="96"/>
      <c r="E546" s="96" t="s">
        <v>1495</v>
      </c>
      <c r="F546" s="59"/>
      <c r="G546" s="65"/>
      <c r="J546" s="13"/>
    </row>
    <row r="547" spans="1:10" s="62" customFormat="1" ht="80.25" customHeight="1">
      <c r="A547" s="51" t="s">
        <v>542</v>
      </c>
      <c r="B547" s="11" t="s">
        <v>543</v>
      </c>
      <c r="C547" s="12">
        <v>541</v>
      </c>
      <c r="D547" s="96"/>
      <c r="E547" s="96" t="s">
        <v>1495</v>
      </c>
      <c r="F547" s="61"/>
      <c r="J547" s="63"/>
    </row>
    <row r="548" spans="1:10" ht="80.25" customHeight="1">
      <c r="A548" s="11" t="s">
        <v>544</v>
      </c>
      <c r="B548" s="11" t="s">
        <v>545</v>
      </c>
      <c r="C548" s="12">
        <v>639</v>
      </c>
      <c r="D548" s="96"/>
      <c r="E548" s="96" t="s">
        <v>1495</v>
      </c>
      <c r="F548" s="59"/>
      <c r="G548" s="1"/>
      <c r="J548" s="13"/>
    </row>
    <row r="549" spans="1:10" ht="80.25" customHeight="1">
      <c r="A549" s="11" t="s">
        <v>546</v>
      </c>
      <c r="B549" s="11" t="s">
        <v>547</v>
      </c>
      <c r="C549" s="12">
        <v>685</v>
      </c>
      <c r="D549" s="96"/>
      <c r="E549" s="96" t="s">
        <v>1495</v>
      </c>
      <c r="F549" s="59"/>
      <c r="G549" s="65"/>
      <c r="J549" s="13"/>
    </row>
    <row r="550" spans="1:10" s="62" customFormat="1" ht="80.25" customHeight="1">
      <c r="A550" s="11" t="s">
        <v>548</v>
      </c>
      <c r="B550" s="11" t="s">
        <v>549</v>
      </c>
      <c r="C550" s="12">
        <v>618</v>
      </c>
      <c r="D550" s="96"/>
      <c r="E550" s="96" t="s">
        <v>1495</v>
      </c>
      <c r="F550" s="61"/>
      <c r="J550" s="63"/>
    </row>
    <row r="551" spans="1:10" ht="80.25" customHeight="1">
      <c r="A551" s="11" t="s">
        <v>550</v>
      </c>
      <c r="B551" s="11" t="s">
        <v>551</v>
      </c>
      <c r="C551" s="12">
        <v>181</v>
      </c>
      <c r="D551" s="99"/>
      <c r="E551" s="99" t="s">
        <v>1495</v>
      </c>
      <c r="F551" s="59"/>
      <c r="G551" s="1"/>
      <c r="J551" s="13"/>
    </row>
    <row r="552" spans="1:10" s="62" customFormat="1" ht="80.25" customHeight="1">
      <c r="A552" s="11" t="s">
        <v>552</v>
      </c>
      <c r="B552" s="11" t="s">
        <v>553</v>
      </c>
      <c r="C552" s="12">
        <v>552</v>
      </c>
      <c r="D552" s="96"/>
      <c r="E552" s="96" t="s">
        <v>1495</v>
      </c>
      <c r="F552" s="61"/>
      <c r="J552" s="63"/>
    </row>
    <row r="553" spans="1:10" ht="80.25" customHeight="1">
      <c r="A553" s="11" t="s">
        <v>554</v>
      </c>
      <c r="B553" s="11" t="s">
        <v>555</v>
      </c>
      <c r="C553" s="12">
        <v>217</v>
      </c>
      <c r="D553" s="96"/>
      <c r="E553" s="96" t="s">
        <v>1495</v>
      </c>
      <c r="F553" s="59"/>
      <c r="G553" s="1"/>
      <c r="J553" s="13"/>
    </row>
    <row r="554" spans="1:10" ht="80.25" customHeight="1">
      <c r="A554" s="11" t="s">
        <v>556</v>
      </c>
      <c r="B554" s="11" t="s">
        <v>557</v>
      </c>
      <c r="C554" s="12">
        <v>78</v>
      </c>
      <c r="D554" s="96"/>
      <c r="E554" s="96" t="s">
        <v>1495</v>
      </c>
      <c r="F554" s="59"/>
      <c r="G554" s="1"/>
      <c r="J554" s="13"/>
    </row>
    <row r="555" spans="1:10" ht="80.25" customHeight="1">
      <c r="A555" s="11" t="s">
        <v>566</v>
      </c>
      <c r="B555" s="11" t="s">
        <v>567</v>
      </c>
      <c r="C555" s="12">
        <v>222</v>
      </c>
      <c r="D555" s="96"/>
      <c r="E555" s="96" t="s">
        <v>1495</v>
      </c>
      <c r="F555" s="59"/>
      <c r="G555" s="1"/>
      <c r="J555" s="13"/>
    </row>
    <row r="556" spans="1:10" ht="80.25" customHeight="1">
      <c r="A556" s="11" t="s">
        <v>562</v>
      </c>
      <c r="B556" s="11" t="s">
        <v>563</v>
      </c>
      <c r="C556" s="12">
        <v>495</v>
      </c>
      <c r="D556" s="96"/>
      <c r="E556" s="96" t="s">
        <v>1495</v>
      </c>
      <c r="F556" s="59"/>
      <c r="G556" s="1"/>
      <c r="J556" s="13"/>
    </row>
    <row r="557" spans="1:10" ht="80.25" customHeight="1">
      <c r="A557" s="11" t="s">
        <v>564</v>
      </c>
      <c r="B557" s="11" t="s">
        <v>565</v>
      </c>
      <c r="C557" s="12">
        <v>206</v>
      </c>
      <c r="D557" s="92"/>
      <c r="E557" s="92" t="s">
        <v>1495</v>
      </c>
      <c r="F557" s="59"/>
      <c r="G557" s="1"/>
      <c r="J557" s="13"/>
    </row>
    <row r="558" spans="1:10" ht="80.25" customHeight="1">
      <c r="A558" s="11" t="s">
        <v>558</v>
      </c>
      <c r="B558" s="11" t="s">
        <v>559</v>
      </c>
      <c r="C558" s="12">
        <v>129</v>
      </c>
      <c r="D558" s="96"/>
      <c r="E558" s="96" t="s">
        <v>1495</v>
      </c>
      <c r="F558" s="59"/>
      <c r="G558" s="1"/>
      <c r="J558" s="13"/>
    </row>
    <row r="559" spans="1:10" ht="80.25" customHeight="1">
      <c r="A559" s="11" t="s">
        <v>560</v>
      </c>
      <c r="B559" s="11" t="s">
        <v>561</v>
      </c>
      <c r="C559" s="12">
        <v>103</v>
      </c>
      <c r="D559" s="96"/>
      <c r="E559" s="96" t="s">
        <v>1495</v>
      </c>
      <c r="F559" s="59"/>
      <c r="G559" s="1"/>
      <c r="J559" s="13"/>
    </row>
    <row r="560" spans="1:10" ht="80.25" customHeight="1">
      <c r="A560" s="27" t="s">
        <v>178</v>
      </c>
      <c r="B560" s="11" t="s">
        <v>179</v>
      </c>
      <c r="C560" s="12">
        <v>1623</v>
      </c>
      <c r="D560" s="96"/>
      <c r="E560" s="96" t="s">
        <v>1495</v>
      </c>
      <c r="F560" s="59"/>
      <c r="G560" s="1"/>
      <c r="J560" s="13"/>
    </row>
    <row r="561" spans="1:10" ht="80.25" customHeight="1">
      <c r="A561" s="27" t="s">
        <v>180</v>
      </c>
      <c r="B561" s="11" t="s">
        <v>181</v>
      </c>
      <c r="C561" s="12">
        <v>1937</v>
      </c>
      <c r="D561" s="96"/>
      <c r="E561" s="96" t="s">
        <v>1495</v>
      </c>
      <c r="F561" s="59"/>
      <c r="G561" s="1"/>
      <c r="J561" s="13"/>
    </row>
    <row r="562" spans="1:10" ht="80.25" customHeight="1">
      <c r="A562" s="27" t="s">
        <v>182</v>
      </c>
      <c r="B562" s="11" t="s">
        <v>183</v>
      </c>
      <c r="C562" s="12">
        <v>2931</v>
      </c>
      <c r="D562" s="96"/>
      <c r="E562" s="96" t="s">
        <v>1495</v>
      </c>
      <c r="F562" s="59"/>
      <c r="G562" s="1"/>
      <c r="J562" s="13"/>
    </row>
    <row r="563" spans="1:10" ht="80.25" customHeight="1">
      <c r="A563" s="11" t="s">
        <v>570</v>
      </c>
      <c r="B563" s="11" t="s">
        <v>571</v>
      </c>
      <c r="C563" s="12">
        <v>48</v>
      </c>
      <c r="D563" s="96"/>
      <c r="E563" s="96" t="s">
        <v>1495</v>
      </c>
      <c r="F563" s="59"/>
      <c r="G563" s="1"/>
      <c r="J563" s="13"/>
    </row>
    <row r="564" spans="1:10" ht="80.25" customHeight="1">
      <c r="A564" s="11" t="s">
        <v>568</v>
      </c>
      <c r="B564" s="11" t="s">
        <v>569</v>
      </c>
      <c r="C564" s="12">
        <v>196</v>
      </c>
      <c r="D564" s="96"/>
      <c r="E564" s="96" t="s">
        <v>1495</v>
      </c>
      <c r="F564" s="59"/>
      <c r="G564" s="1"/>
      <c r="J564" s="13"/>
    </row>
    <row r="565" spans="1:10" ht="80.25" customHeight="1">
      <c r="A565" s="11" t="s">
        <v>574</v>
      </c>
      <c r="B565" s="11" t="s">
        <v>575</v>
      </c>
      <c r="C565" s="12">
        <v>52</v>
      </c>
      <c r="D565" s="96"/>
      <c r="E565" s="96" t="s">
        <v>1495</v>
      </c>
      <c r="F565" s="59"/>
      <c r="G565" s="1"/>
      <c r="J565" s="13"/>
    </row>
    <row r="566" spans="1:10" ht="80.25" customHeight="1">
      <c r="A566" s="11" t="s">
        <v>576</v>
      </c>
      <c r="B566" s="11" t="s">
        <v>575</v>
      </c>
      <c r="C566" s="12">
        <v>52</v>
      </c>
      <c r="D566" s="96"/>
      <c r="E566" s="96" t="s">
        <v>1495</v>
      </c>
      <c r="F566" s="59"/>
      <c r="G566" s="1"/>
      <c r="J566" s="13"/>
    </row>
    <row r="567" spans="1:10" ht="80.25" customHeight="1">
      <c r="A567" s="11" t="s">
        <v>577</v>
      </c>
      <c r="B567" s="11" t="s">
        <v>575</v>
      </c>
      <c r="C567" s="12">
        <v>52</v>
      </c>
      <c r="D567" s="96"/>
      <c r="E567" s="96" t="s">
        <v>1495</v>
      </c>
      <c r="F567" s="59"/>
      <c r="G567" s="1"/>
      <c r="J567" s="13"/>
    </row>
    <row r="568" spans="1:10" ht="80.25" customHeight="1">
      <c r="A568" s="11" t="s">
        <v>578</v>
      </c>
      <c r="B568" s="11" t="s">
        <v>575</v>
      </c>
      <c r="C568" s="12">
        <v>52</v>
      </c>
      <c r="D568" s="96"/>
      <c r="E568" s="96" t="s">
        <v>1495</v>
      </c>
      <c r="F568" s="59"/>
      <c r="G568" s="1"/>
      <c r="J568" s="13"/>
    </row>
    <row r="569" spans="1:10" s="62" customFormat="1" ht="80.25" customHeight="1">
      <c r="A569" s="11" t="s">
        <v>579</v>
      </c>
      <c r="B569" s="11" t="s">
        <v>575</v>
      </c>
      <c r="C569" s="12">
        <v>52</v>
      </c>
      <c r="D569" s="96"/>
      <c r="E569" s="96" t="s">
        <v>1495</v>
      </c>
      <c r="J569" s="63"/>
    </row>
    <row r="570" spans="1:10" ht="80.25" customHeight="1">
      <c r="A570" s="11" t="s">
        <v>572</v>
      </c>
      <c r="B570" s="11" t="s">
        <v>573</v>
      </c>
      <c r="C570" s="12">
        <v>33</v>
      </c>
      <c r="D570" s="96"/>
      <c r="E570" s="96" t="s">
        <v>1495</v>
      </c>
      <c r="F570" s="59"/>
      <c r="G570" s="1"/>
      <c r="J570" s="13"/>
    </row>
    <row r="571" spans="1:10" ht="80.25" customHeight="1">
      <c r="A571" s="51" t="s">
        <v>580</v>
      </c>
      <c r="B571" s="11" t="s">
        <v>581</v>
      </c>
      <c r="C571" s="12">
        <v>376</v>
      </c>
      <c r="D571" s="96"/>
      <c r="E571" s="96" t="s">
        <v>1495</v>
      </c>
      <c r="F571" s="59"/>
      <c r="G571" s="1"/>
      <c r="J571" s="13"/>
    </row>
    <row r="572" spans="1:10" ht="80.25" customHeight="1">
      <c r="A572" s="11" t="s">
        <v>582</v>
      </c>
      <c r="B572" s="11" t="s">
        <v>583</v>
      </c>
      <c r="C572" s="12">
        <v>26</v>
      </c>
      <c r="D572" s="96"/>
      <c r="E572" s="96" t="s">
        <v>1495</v>
      </c>
      <c r="F572" s="59"/>
      <c r="G572" s="1"/>
      <c r="J572" s="13"/>
    </row>
    <row r="573" spans="1:10" ht="80.25" customHeight="1">
      <c r="A573" s="11" t="s">
        <v>584</v>
      </c>
      <c r="B573" s="11" t="s">
        <v>585</v>
      </c>
      <c r="C573" s="12">
        <v>26</v>
      </c>
      <c r="D573" s="96"/>
      <c r="E573" s="96" t="s">
        <v>1495</v>
      </c>
      <c r="F573" s="59"/>
      <c r="G573" s="1"/>
      <c r="J573" s="13"/>
    </row>
    <row r="574" spans="1:10" ht="80.25" customHeight="1">
      <c r="A574" s="11" t="s">
        <v>586</v>
      </c>
      <c r="B574" s="11" t="s">
        <v>587</v>
      </c>
      <c r="C574" s="12">
        <v>1092</v>
      </c>
      <c r="D574" s="96"/>
      <c r="E574" s="96" t="s">
        <v>1495</v>
      </c>
      <c r="F574" s="59"/>
      <c r="G574" s="1"/>
      <c r="J574" s="13"/>
    </row>
    <row r="575" spans="1:10" ht="80.25" customHeight="1">
      <c r="A575" s="11" t="s">
        <v>590</v>
      </c>
      <c r="B575" s="11" t="s">
        <v>591</v>
      </c>
      <c r="C575" s="12">
        <v>768</v>
      </c>
      <c r="D575" s="96"/>
      <c r="E575" s="96" t="s">
        <v>1495</v>
      </c>
      <c r="F575" s="59"/>
      <c r="G575" s="1"/>
      <c r="J575" s="13"/>
    </row>
    <row r="576" spans="1:10" ht="80.25" customHeight="1">
      <c r="A576" s="11" t="s">
        <v>592</v>
      </c>
      <c r="B576" s="11" t="s">
        <v>593</v>
      </c>
      <c r="C576" s="12">
        <v>1164</v>
      </c>
      <c r="D576" s="96"/>
      <c r="E576" s="96" t="s">
        <v>1495</v>
      </c>
      <c r="F576" s="59"/>
      <c r="G576" s="1"/>
      <c r="J576" s="13"/>
    </row>
    <row r="577" spans="1:10" ht="80.25" customHeight="1">
      <c r="A577" s="11" t="s">
        <v>588</v>
      </c>
      <c r="B577" s="11" t="s">
        <v>589</v>
      </c>
      <c r="C577" s="12">
        <v>2266</v>
      </c>
      <c r="D577" s="96"/>
      <c r="E577" s="96" t="s">
        <v>1495</v>
      </c>
      <c r="F577" s="59"/>
      <c r="G577" s="1"/>
      <c r="J577" s="13"/>
    </row>
    <row r="578" spans="1:10" ht="80.25" customHeight="1">
      <c r="A578" s="11" t="s">
        <v>594</v>
      </c>
      <c r="B578" s="11" t="s">
        <v>595</v>
      </c>
      <c r="C578" s="12">
        <v>938</v>
      </c>
      <c r="D578" s="96"/>
      <c r="E578" s="96" t="s">
        <v>1495</v>
      </c>
      <c r="F578" s="59"/>
      <c r="G578" s="1"/>
      <c r="J578" s="13"/>
    </row>
    <row r="579" spans="1:10" ht="80.25" customHeight="1">
      <c r="A579" s="51" t="s">
        <v>596</v>
      </c>
      <c r="B579" s="11" t="s">
        <v>597</v>
      </c>
      <c r="C579" s="12">
        <v>665</v>
      </c>
      <c r="D579" s="96"/>
      <c r="E579" s="96" t="s">
        <v>1495</v>
      </c>
      <c r="F579" s="59"/>
      <c r="G579" s="1"/>
      <c r="J579" s="13"/>
    </row>
    <row r="580" spans="1:10" ht="80.25" customHeight="1">
      <c r="A580" s="11" t="s">
        <v>598</v>
      </c>
      <c r="B580" s="11" t="s">
        <v>599</v>
      </c>
      <c r="C580" s="12">
        <v>258</v>
      </c>
      <c r="D580" s="96"/>
      <c r="E580" s="96" t="s">
        <v>1495</v>
      </c>
      <c r="F580" s="59"/>
      <c r="G580" s="1"/>
      <c r="J580" s="13"/>
    </row>
    <row r="581" spans="1:10" ht="80.25" customHeight="1">
      <c r="A581" s="11" t="s">
        <v>600</v>
      </c>
      <c r="B581" s="11" t="s">
        <v>601</v>
      </c>
      <c r="C581" s="12">
        <v>258</v>
      </c>
      <c r="D581" s="96"/>
      <c r="E581" s="96" t="s">
        <v>1495</v>
      </c>
      <c r="F581" s="59"/>
      <c r="G581" s="1"/>
      <c r="J581" s="13"/>
    </row>
    <row r="582" spans="1:10" ht="80.25" customHeight="1">
      <c r="A582" s="75" t="s">
        <v>1383</v>
      </c>
      <c r="B582" s="75" t="s">
        <v>1384</v>
      </c>
      <c r="C582" s="44">
        <v>320</v>
      </c>
      <c r="D582" s="96"/>
      <c r="E582" s="96" t="s">
        <v>1495</v>
      </c>
      <c r="F582" s="59"/>
      <c r="G582" s="1"/>
      <c r="J582" s="13"/>
    </row>
    <row r="583" spans="1:10" ht="80.25" customHeight="1">
      <c r="A583" s="75" t="s">
        <v>1385</v>
      </c>
      <c r="B583" s="75" t="s">
        <v>1386</v>
      </c>
      <c r="C583" s="44">
        <v>350</v>
      </c>
      <c r="D583" s="96"/>
      <c r="E583" s="96" t="s">
        <v>1495</v>
      </c>
      <c r="F583" s="59"/>
      <c r="G583" s="1"/>
      <c r="J583" s="13"/>
    </row>
    <row r="584" spans="1:10" ht="80.25" customHeight="1">
      <c r="A584" s="11" t="s">
        <v>36</v>
      </c>
      <c r="B584" s="11" t="s">
        <v>37</v>
      </c>
      <c r="C584" s="12">
        <v>1298</v>
      </c>
      <c r="D584" s="96"/>
      <c r="E584" s="96" t="s">
        <v>1495</v>
      </c>
      <c r="F584" s="59"/>
      <c r="G584" s="1"/>
      <c r="J584" s="13"/>
    </row>
    <row r="585" spans="1:10" ht="80.25" customHeight="1">
      <c r="A585" s="11" t="s">
        <v>38</v>
      </c>
      <c r="B585" s="11" t="s">
        <v>39</v>
      </c>
      <c r="C585" s="12">
        <v>1319</v>
      </c>
      <c r="D585" s="96"/>
      <c r="E585" s="96" t="s">
        <v>1495</v>
      </c>
      <c r="F585" s="59"/>
      <c r="G585" s="1"/>
      <c r="J585" s="13"/>
    </row>
    <row r="586" spans="1:10" ht="80.25" customHeight="1">
      <c r="A586" s="11" t="s">
        <v>40</v>
      </c>
      <c r="B586" s="11" t="s">
        <v>41</v>
      </c>
      <c r="C586" s="12">
        <v>1339</v>
      </c>
      <c r="D586" s="96"/>
      <c r="E586" s="96" t="s">
        <v>1495</v>
      </c>
      <c r="F586" s="59"/>
      <c r="G586" s="1"/>
      <c r="J586" s="13"/>
    </row>
    <row r="587" spans="1:10" ht="80.25" customHeight="1">
      <c r="A587" s="11" t="s">
        <v>34</v>
      </c>
      <c r="B587" s="11" t="s">
        <v>35</v>
      </c>
      <c r="C587" s="12">
        <v>1278</v>
      </c>
      <c r="D587" s="96"/>
      <c r="E587" s="96" t="s">
        <v>1495</v>
      </c>
      <c r="F587" s="59"/>
      <c r="G587" s="1"/>
      <c r="J587" s="13"/>
    </row>
    <row r="588" spans="1:10" ht="80.25" customHeight="1">
      <c r="A588" s="11" t="s">
        <v>602</v>
      </c>
      <c r="B588" s="11" t="s">
        <v>603</v>
      </c>
      <c r="C588" s="12">
        <v>129</v>
      </c>
      <c r="D588" s="96"/>
      <c r="E588" s="96" t="s">
        <v>1495</v>
      </c>
      <c r="F588" s="59"/>
      <c r="G588" s="1"/>
      <c r="J588" s="13"/>
    </row>
    <row r="589" spans="1:10" ht="80.25" customHeight="1">
      <c r="A589" s="11" t="s">
        <v>604</v>
      </c>
      <c r="B589" s="11" t="s">
        <v>605</v>
      </c>
      <c r="C589" s="12">
        <v>160</v>
      </c>
      <c r="D589" s="96"/>
      <c r="E589" s="96" t="s">
        <v>1495</v>
      </c>
      <c r="F589" s="59"/>
      <c r="G589" s="1"/>
      <c r="J589" s="13"/>
    </row>
    <row r="590" spans="1:10" ht="80.25" customHeight="1">
      <c r="A590" s="11" t="s">
        <v>606</v>
      </c>
      <c r="B590" s="11" t="s">
        <v>607</v>
      </c>
      <c r="C590" s="12">
        <v>474</v>
      </c>
      <c r="D590" s="96"/>
      <c r="E590" s="96" t="s">
        <v>1495</v>
      </c>
      <c r="F590" s="59"/>
      <c r="G590" s="1"/>
      <c r="J590" s="13"/>
    </row>
    <row r="591" spans="1:10" ht="80.25" customHeight="1">
      <c r="A591" s="57" t="s">
        <v>654</v>
      </c>
      <c r="B591" s="58" t="s">
        <v>655</v>
      </c>
      <c r="C591" s="12">
        <v>320</v>
      </c>
      <c r="D591" s="97"/>
      <c r="E591" s="97" t="s">
        <v>1495</v>
      </c>
      <c r="F591" s="59"/>
      <c r="G591" s="1"/>
      <c r="J591" s="13"/>
    </row>
    <row r="592" spans="1:10" ht="80.25" customHeight="1">
      <c r="A592" s="57" t="s">
        <v>648</v>
      </c>
      <c r="B592" s="58" t="s">
        <v>649</v>
      </c>
      <c r="C592" s="12">
        <v>299</v>
      </c>
      <c r="D592" s="96"/>
      <c r="E592" s="96" t="s">
        <v>1495</v>
      </c>
      <c r="F592" s="59"/>
      <c r="G592" s="1"/>
      <c r="J592" s="13"/>
    </row>
    <row r="593" spans="1:10" ht="80.25" customHeight="1">
      <c r="A593" s="57" t="s">
        <v>650</v>
      </c>
      <c r="B593" s="58" t="s">
        <v>651</v>
      </c>
      <c r="C593" s="12">
        <v>299</v>
      </c>
      <c r="D593" s="96"/>
      <c r="E593" s="96" t="s">
        <v>1495</v>
      </c>
      <c r="F593" s="59"/>
      <c r="G593" s="1"/>
      <c r="J593" s="13"/>
    </row>
    <row r="594" spans="1:10" ht="80.25" customHeight="1">
      <c r="A594" s="57" t="s">
        <v>652</v>
      </c>
      <c r="B594" s="58" t="s">
        <v>653</v>
      </c>
      <c r="C594" s="12">
        <v>320</v>
      </c>
      <c r="D594" s="96"/>
      <c r="E594" s="96" t="s">
        <v>1495</v>
      </c>
      <c r="F594" s="59"/>
      <c r="G594" s="1"/>
      <c r="J594" s="13"/>
    </row>
    <row r="595" spans="1:10" ht="80.25" customHeight="1">
      <c r="A595" s="11" t="s">
        <v>616</v>
      </c>
      <c r="B595" s="11" t="s">
        <v>617</v>
      </c>
      <c r="C595" s="12">
        <v>232</v>
      </c>
      <c r="D595" s="96"/>
      <c r="E595" s="96" t="s">
        <v>1495</v>
      </c>
      <c r="F595" s="59"/>
      <c r="G595" s="1"/>
      <c r="J595" s="13"/>
    </row>
    <row r="596" spans="1:10" ht="80.25" customHeight="1">
      <c r="A596" s="11" t="s">
        <v>608</v>
      </c>
      <c r="B596" s="11" t="s">
        <v>609</v>
      </c>
      <c r="C596" s="12">
        <v>160</v>
      </c>
      <c r="D596" s="96"/>
      <c r="E596" s="96" t="s">
        <v>1495</v>
      </c>
      <c r="F596" s="59"/>
      <c r="G596" s="1"/>
      <c r="J596" s="13"/>
    </row>
    <row r="597" spans="1:10" ht="80.25" customHeight="1">
      <c r="A597" s="11" t="s">
        <v>610</v>
      </c>
      <c r="B597" s="11" t="s">
        <v>611</v>
      </c>
      <c r="C597" s="12">
        <v>196</v>
      </c>
      <c r="D597" s="96"/>
      <c r="E597" s="96" t="s">
        <v>1495</v>
      </c>
      <c r="F597" s="59"/>
      <c r="G597" s="1"/>
      <c r="J597" s="13"/>
    </row>
    <row r="598" spans="1:10" ht="80.25" customHeight="1">
      <c r="A598" s="11" t="s">
        <v>612</v>
      </c>
      <c r="B598" s="11" t="s">
        <v>613</v>
      </c>
      <c r="C598" s="12">
        <v>196</v>
      </c>
      <c r="D598" s="96"/>
      <c r="E598" s="96" t="s">
        <v>1495</v>
      </c>
      <c r="F598" s="59"/>
      <c r="G598" s="1"/>
      <c r="J598" s="13"/>
    </row>
    <row r="599" spans="1:10" ht="80.25" customHeight="1">
      <c r="A599" s="11" t="s">
        <v>614</v>
      </c>
      <c r="B599" s="11" t="s">
        <v>615</v>
      </c>
      <c r="C599" s="12">
        <v>232</v>
      </c>
      <c r="D599" s="96"/>
      <c r="E599" s="96" t="s">
        <v>1495</v>
      </c>
      <c r="F599" s="59"/>
      <c r="G599" s="1"/>
      <c r="J599" s="13"/>
    </row>
    <row r="600" spans="1:10" ht="80.25" customHeight="1">
      <c r="A600" s="57" t="s">
        <v>644</v>
      </c>
      <c r="B600" s="58" t="s">
        <v>645</v>
      </c>
      <c r="C600" s="12">
        <v>232</v>
      </c>
      <c r="D600" s="96"/>
      <c r="E600" s="96" t="s">
        <v>1495</v>
      </c>
      <c r="F600" s="59"/>
      <c r="G600" s="1"/>
      <c r="J600" s="13"/>
    </row>
    <row r="601" spans="1:10" ht="80.25" customHeight="1">
      <c r="A601" s="57" t="s">
        <v>636</v>
      </c>
      <c r="B601" s="58" t="s">
        <v>637</v>
      </c>
      <c r="C601" s="12">
        <v>160</v>
      </c>
      <c r="D601" s="96"/>
      <c r="E601" s="96" t="s">
        <v>1495</v>
      </c>
      <c r="F601" s="59"/>
      <c r="G601" s="1"/>
      <c r="J601" s="13"/>
    </row>
    <row r="602" spans="1:10" ht="80.25" customHeight="1">
      <c r="A602" s="57" t="s">
        <v>638</v>
      </c>
      <c r="B602" s="58" t="s">
        <v>639</v>
      </c>
      <c r="C602" s="12">
        <v>196</v>
      </c>
      <c r="D602" s="96"/>
      <c r="E602" s="96" t="s">
        <v>1495</v>
      </c>
      <c r="F602" s="59"/>
      <c r="G602" s="1"/>
      <c r="J602" s="13"/>
    </row>
    <row r="603" spans="1:10" ht="80.25" customHeight="1">
      <c r="A603" s="57" t="s">
        <v>640</v>
      </c>
      <c r="B603" s="58" t="s">
        <v>641</v>
      </c>
      <c r="C603" s="12">
        <v>196</v>
      </c>
      <c r="D603" s="96"/>
      <c r="E603" s="96" t="s">
        <v>1495</v>
      </c>
      <c r="F603" s="59"/>
      <c r="G603" s="1"/>
      <c r="J603" s="13"/>
    </row>
    <row r="604" spans="1:10" ht="80.25" customHeight="1">
      <c r="A604" s="57" t="s">
        <v>642</v>
      </c>
      <c r="B604" s="58" t="s">
        <v>643</v>
      </c>
      <c r="C604" s="12">
        <v>232</v>
      </c>
      <c r="D604" s="96"/>
      <c r="E604" s="96" t="s">
        <v>1495</v>
      </c>
      <c r="F604" s="59"/>
      <c r="G604" s="1"/>
      <c r="J604" s="13"/>
    </row>
    <row r="605" spans="1:10" ht="80.25" customHeight="1">
      <c r="A605" s="11" t="s">
        <v>624</v>
      </c>
      <c r="B605" s="11" t="s">
        <v>625</v>
      </c>
      <c r="C605" s="12">
        <v>320</v>
      </c>
      <c r="D605" s="96"/>
      <c r="E605" s="96" t="s">
        <v>1495</v>
      </c>
      <c r="F605" s="59"/>
      <c r="G605" s="1"/>
      <c r="J605" s="13"/>
    </row>
    <row r="606" spans="1:10" ht="80.25" customHeight="1">
      <c r="A606" s="11" t="s">
        <v>618</v>
      </c>
      <c r="B606" s="11" t="s">
        <v>619</v>
      </c>
      <c r="C606" s="12">
        <v>299</v>
      </c>
      <c r="D606" s="96"/>
      <c r="E606" s="96" t="s">
        <v>1495</v>
      </c>
      <c r="F606" s="59"/>
      <c r="G606" s="1"/>
      <c r="J606" s="13"/>
    </row>
    <row r="607" spans="1:10" ht="80.25" customHeight="1">
      <c r="A607" s="11" t="s">
        <v>620</v>
      </c>
      <c r="B607" s="11" t="s">
        <v>621</v>
      </c>
      <c r="C607" s="12">
        <v>299</v>
      </c>
      <c r="D607" s="96"/>
      <c r="E607" s="96" t="s">
        <v>1495</v>
      </c>
      <c r="F607" s="59"/>
      <c r="G607" s="1"/>
      <c r="J607" s="13"/>
    </row>
    <row r="608" spans="1:10" ht="80.25" customHeight="1">
      <c r="A608" s="11" t="s">
        <v>622</v>
      </c>
      <c r="B608" s="11" t="s">
        <v>623</v>
      </c>
      <c r="C608" s="12">
        <v>320</v>
      </c>
      <c r="D608" s="96"/>
      <c r="E608" s="96" t="s">
        <v>1495</v>
      </c>
      <c r="F608" s="59"/>
      <c r="G608" s="1"/>
      <c r="J608" s="13"/>
    </row>
    <row r="609" spans="1:10" ht="80.25" customHeight="1">
      <c r="A609" s="11" t="s">
        <v>634</v>
      </c>
      <c r="B609" s="11" t="s">
        <v>635</v>
      </c>
      <c r="C609" s="12">
        <v>320</v>
      </c>
      <c r="D609" s="96"/>
      <c r="E609" s="96" t="s">
        <v>1495</v>
      </c>
      <c r="F609" s="59"/>
      <c r="G609" s="1"/>
      <c r="J609" s="13"/>
    </row>
    <row r="610" spans="1:10" ht="80.25" customHeight="1">
      <c r="A610" s="11" t="s">
        <v>626</v>
      </c>
      <c r="B610" s="11" t="s">
        <v>627</v>
      </c>
      <c r="C610" s="12">
        <v>160</v>
      </c>
      <c r="D610" s="96"/>
      <c r="E610" s="96" t="s">
        <v>1495</v>
      </c>
      <c r="F610" s="59"/>
      <c r="G610" s="1"/>
      <c r="J610" s="13"/>
    </row>
    <row r="611" spans="1:10" ht="80.25" customHeight="1">
      <c r="A611" s="11" t="s">
        <v>628</v>
      </c>
      <c r="B611" s="11" t="s">
        <v>629</v>
      </c>
      <c r="C611" s="12">
        <v>299</v>
      </c>
      <c r="D611" s="96"/>
      <c r="E611" s="96" t="s">
        <v>1495</v>
      </c>
      <c r="F611" s="59"/>
      <c r="G611" s="1"/>
      <c r="J611" s="13"/>
    </row>
    <row r="612" spans="1:10" ht="80.25" customHeight="1">
      <c r="A612" s="11" t="s">
        <v>630</v>
      </c>
      <c r="B612" s="11" t="s">
        <v>631</v>
      </c>
      <c r="C612" s="12">
        <v>299</v>
      </c>
      <c r="D612" s="96"/>
      <c r="E612" s="96" t="s">
        <v>1495</v>
      </c>
      <c r="F612" s="59"/>
      <c r="G612" s="1"/>
      <c r="J612" s="13"/>
    </row>
    <row r="613" spans="1:10" ht="80.25" customHeight="1">
      <c r="A613" s="11" t="s">
        <v>632</v>
      </c>
      <c r="B613" s="11" t="s">
        <v>633</v>
      </c>
      <c r="C613" s="12">
        <v>320</v>
      </c>
      <c r="D613" s="96"/>
      <c r="E613" s="96" t="s">
        <v>1495</v>
      </c>
      <c r="F613" s="59"/>
      <c r="G613" s="1"/>
      <c r="J613" s="13"/>
    </row>
    <row r="614" spans="1:10" ht="80.25" customHeight="1">
      <c r="A614" s="57" t="s">
        <v>646</v>
      </c>
      <c r="B614" s="58" t="s">
        <v>647</v>
      </c>
      <c r="C614" s="12">
        <v>160</v>
      </c>
      <c r="D614" s="96"/>
      <c r="E614" s="96" t="s">
        <v>1495</v>
      </c>
      <c r="F614" s="59"/>
      <c r="G614" s="1"/>
      <c r="J614" s="13"/>
    </row>
    <row r="615" spans="1:10" ht="80.25" customHeight="1">
      <c r="A615" s="51" t="s">
        <v>656</v>
      </c>
      <c r="B615" s="11" t="s">
        <v>657</v>
      </c>
      <c r="C615" s="12">
        <v>541</v>
      </c>
      <c r="D615" s="96"/>
      <c r="E615" s="96" t="s">
        <v>1495</v>
      </c>
      <c r="F615" s="59"/>
      <c r="G615" s="1"/>
      <c r="J615" s="13"/>
    </row>
    <row r="616" spans="1:10" ht="80.25" customHeight="1">
      <c r="A616" s="11" t="s">
        <v>658</v>
      </c>
      <c r="B616" s="11" t="s">
        <v>659</v>
      </c>
      <c r="C616" s="12">
        <v>273</v>
      </c>
      <c r="D616" s="96"/>
      <c r="E616" s="96" t="s">
        <v>1495</v>
      </c>
      <c r="F616" s="59"/>
      <c r="G616" s="1"/>
      <c r="J616" s="13"/>
    </row>
    <row r="617" spans="1:10" ht="80.25" customHeight="1">
      <c r="A617" s="11" t="s">
        <v>660</v>
      </c>
      <c r="B617" s="11" t="s">
        <v>661</v>
      </c>
      <c r="C617" s="12">
        <v>170</v>
      </c>
      <c r="D617" s="96"/>
      <c r="E617" s="96" t="s">
        <v>1495</v>
      </c>
      <c r="F617" s="59"/>
      <c r="G617" s="1"/>
      <c r="J617" s="13"/>
    </row>
    <row r="618" spans="1:10" ht="80.25" customHeight="1">
      <c r="A618" s="51" t="s">
        <v>662</v>
      </c>
      <c r="B618" s="11" t="s">
        <v>663</v>
      </c>
      <c r="C618" s="12">
        <v>366</v>
      </c>
      <c r="D618" s="96"/>
      <c r="E618" s="96" t="s">
        <v>1495</v>
      </c>
      <c r="F618" s="59"/>
      <c r="G618" s="1"/>
      <c r="J618" s="13"/>
    </row>
    <row r="619" spans="1:10" ht="80.25" customHeight="1">
      <c r="A619" s="11" t="s">
        <v>664</v>
      </c>
      <c r="B619" s="11" t="s">
        <v>665</v>
      </c>
      <c r="C619" s="12">
        <v>124</v>
      </c>
      <c r="D619" s="96"/>
      <c r="E619" s="96" t="s">
        <v>1495</v>
      </c>
      <c r="F619" s="59"/>
      <c r="G619" s="1"/>
      <c r="J619" s="13"/>
    </row>
    <row r="620" spans="1:10" ht="80.25" customHeight="1">
      <c r="A620" s="11" t="s">
        <v>666</v>
      </c>
      <c r="B620" s="11" t="s">
        <v>667</v>
      </c>
      <c r="C620" s="12">
        <v>325</v>
      </c>
      <c r="D620" s="96"/>
      <c r="E620" s="96" t="s">
        <v>1495</v>
      </c>
      <c r="F620" s="59"/>
      <c r="G620" s="1"/>
      <c r="J620" s="13"/>
    </row>
    <row r="621" spans="1:10" ht="80.25" customHeight="1">
      <c r="A621" s="51" t="s">
        <v>668</v>
      </c>
      <c r="B621" s="11" t="s">
        <v>669</v>
      </c>
      <c r="C621" s="12">
        <v>2009</v>
      </c>
      <c r="D621" s="96"/>
      <c r="E621" s="96" t="s">
        <v>1495</v>
      </c>
      <c r="F621" s="59"/>
      <c r="G621" s="1"/>
      <c r="J621" s="13"/>
    </row>
    <row r="622" spans="1:10" ht="80.25" customHeight="1">
      <c r="A622" s="51" t="s">
        <v>670</v>
      </c>
      <c r="B622" s="11" t="s">
        <v>671</v>
      </c>
      <c r="C622" s="12">
        <v>2982</v>
      </c>
      <c r="D622" s="96"/>
      <c r="E622" s="96" t="s">
        <v>1495</v>
      </c>
      <c r="F622" s="59"/>
      <c r="G622" s="1"/>
      <c r="J622" s="13"/>
    </row>
    <row r="623" spans="1:10" ht="80.25" customHeight="1">
      <c r="A623" s="51" t="s">
        <v>672</v>
      </c>
      <c r="B623" s="11" t="s">
        <v>673</v>
      </c>
      <c r="C623" s="86">
        <v>2395</v>
      </c>
      <c r="D623" s="96"/>
      <c r="E623" s="96" t="s">
        <v>1495</v>
      </c>
      <c r="F623" s="59"/>
      <c r="G623" s="1"/>
      <c r="J623" s="13"/>
    </row>
    <row r="624" spans="1:10" ht="80.25" customHeight="1">
      <c r="A624" s="51" t="s">
        <v>674</v>
      </c>
      <c r="B624" s="11" t="s">
        <v>675</v>
      </c>
      <c r="C624" s="12">
        <v>4244</v>
      </c>
      <c r="D624" s="96"/>
      <c r="E624" s="96" t="s">
        <v>1495</v>
      </c>
      <c r="F624" s="59"/>
      <c r="G624" s="1"/>
      <c r="J624" s="13"/>
    </row>
    <row r="625" spans="1:10" ht="80.25" customHeight="1">
      <c r="A625" s="51" t="s">
        <v>676</v>
      </c>
      <c r="B625" s="11" t="s">
        <v>677</v>
      </c>
      <c r="C625" s="12">
        <v>3436</v>
      </c>
      <c r="D625" s="96"/>
      <c r="E625" s="96" t="s">
        <v>1495</v>
      </c>
      <c r="F625" s="59"/>
      <c r="G625" s="1"/>
      <c r="J625" s="13"/>
    </row>
    <row r="626" spans="1:10" ht="80.25" customHeight="1">
      <c r="A626" s="51" t="s">
        <v>678</v>
      </c>
      <c r="B626" s="11" t="s">
        <v>679</v>
      </c>
      <c r="C626" s="86">
        <v>1803</v>
      </c>
      <c r="D626" s="96"/>
      <c r="E626" s="96" t="s">
        <v>1495</v>
      </c>
      <c r="F626" s="59"/>
      <c r="G626" s="1"/>
      <c r="J626" s="13"/>
    </row>
    <row r="627" spans="1:10" ht="80.25" customHeight="1">
      <c r="A627" s="51" t="s">
        <v>680</v>
      </c>
      <c r="B627" s="11" t="s">
        <v>681</v>
      </c>
      <c r="C627" s="12">
        <v>279</v>
      </c>
      <c r="D627" s="96"/>
      <c r="E627" s="96" t="s">
        <v>1495</v>
      </c>
      <c r="F627" s="59"/>
      <c r="G627" s="1"/>
      <c r="J627" s="13"/>
    </row>
    <row r="628" spans="1:10" ht="80.25" customHeight="1">
      <c r="A628" s="51" t="s">
        <v>682</v>
      </c>
      <c r="B628" s="11" t="s">
        <v>683</v>
      </c>
      <c r="C628" s="12">
        <v>6000</v>
      </c>
      <c r="D628" s="96"/>
      <c r="E628" s="96" t="s">
        <v>1495</v>
      </c>
      <c r="F628" s="59"/>
      <c r="G628" s="1"/>
      <c r="J628" s="13"/>
    </row>
    <row r="629" spans="1:10" ht="80.25" customHeight="1">
      <c r="A629" s="51" t="s">
        <v>684</v>
      </c>
      <c r="B629" s="11" t="s">
        <v>685</v>
      </c>
      <c r="C629" s="12">
        <v>4115</v>
      </c>
      <c r="D629" s="96"/>
      <c r="E629" s="96" t="s">
        <v>1495</v>
      </c>
      <c r="F629" s="59"/>
      <c r="G629" s="1"/>
      <c r="J629" s="13"/>
    </row>
    <row r="630" spans="1:10" ht="80.25" customHeight="1">
      <c r="A630" s="11" t="s">
        <v>686</v>
      </c>
      <c r="B630" s="11" t="s">
        <v>687</v>
      </c>
      <c r="C630" s="12">
        <v>845</v>
      </c>
      <c r="D630" s="96"/>
      <c r="E630" s="96" t="s">
        <v>1495</v>
      </c>
      <c r="F630" s="59"/>
      <c r="G630" s="1"/>
      <c r="J630" s="13"/>
    </row>
    <row r="631" spans="1:10" ht="80.25" customHeight="1">
      <c r="A631" s="11" t="s">
        <v>688</v>
      </c>
      <c r="B631" s="11" t="s">
        <v>689</v>
      </c>
      <c r="C631" s="12">
        <v>2545</v>
      </c>
      <c r="D631" s="96"/>
      <c r="E631" s="96" t="s">
        <v>1495</v>
      </c>
      <c r="F631" s="59"/>
      <c r="G631" s="1"/>
      <c r="J631" s="13"/>
    </row>
    <row r="632" spans="1:10" ht="80.25" customHeight="1">
      <c r="A632" s="11" t="s">
        <v>690</v>
      </c>
      <c r="B632" s="11" t="s">
        <v>691</v>
      </c>
      <c r="C632" s="12">
        <v>98</v>
      </c>
      <c r="D632" s="96"/>
      <c r="E632" s="96" t="s">
        <v>1495</v>
      </c>
      <c r="F632" s="59"/>
      <c r="G632" s="1"/>
      <c r="J632" s="13"/>
    </row>
    <row r="633" spans="1:10" ht="80.25" customHeight="1">
      <c r="A633" s="11" t="s">
        <v>692</v>
      </c>
      <c r="B633" s="11" t="s">
        <v>693</v>
      </c>
      <c r="C633" s="12">
        <v>747</v>
      </c>
      <c r="D633" s="96"/>
      <c r="E633" s="96" t="s">
        <v>1495</v>
      </c>
      <c r="F633" s="59"/>
      <c r="G633" s="1"/>
      <c r="J633" s="13"/>
    </row>
    <row r="634" spans="1:10" ht="80.25" customHeight="1">
      <c r="A634" s="11" t="s">
        <v>694</v>
      </c>
      <c r="B634" s="11" t="s">
        <v>695</v>
      </c>
      <c r="C634" s="12">
        <v>1535</v>
      </c>
      <c r="D634" s="96"/>
      <c r="E634" s="96" t="s">
        <v>1495</v>
      </c>
      <c r="F634" s="59"/>
      <c r="G634" s="1"/>
      <c r="J634" s="13"/>
    </row>
    <row r="635" spans="1:10" ht="80.25" customHeight="1">
      <c r="A635" s="11" t="s">
        <v>696</v>
      </c>
      <c r="B635" s="11" t="s">
        <v>697</v>
      </c>
      <c r="C635" s="12">
        <v>1803</v>
      </c>
      <c r="D635" s="96"/>
      <c r="E635" s="96" t="s">
        <v>1495</v>
      </c>
      <c r="F635" s="59"/>
      <c r="G635" s="1"/>
      <c r="J635" s="13"/>
    </row>
    <row r="636" spans="1:10" ht="80.25" customHeight="1">
      <c r="A636" s="19" t="s">
        <v>78</v>
      </c>
      <c r="B636" s="11" t="s">
        <v>79</v>
      </c>
      <c r="C636" s="12">
        <v>1422</v>
      </c>
      <c r="D636" s="96"/>
      <c r="E636" s="96" t="s">
        <v>1495</v>
      </c>
      <c r="F636" s="59"/>
      <c r="G636" s="1"/>
      <c r="J636" s="13"/>
    </row>
    <row r="637" spans="1:10" ht="80.25" customHeight="1">
      <c r="A637" s="23" t="s">
        <v>80</v>
      </c>
      <c r="B637" s="11" t="s">
        <v>81</v>
      </c>
      <c r="C637" s="12">
        <v>2864</v>
      </c>
      <c r="D637" s="96"/>
      <c r="E637" s="96" t="s">
        <v>1495</v>
      </c>
      <c r="F637" s="59"/>
      <c r="G637" s="1"/>
      <c r="J637" s="13"/>
    </row>
    <row r="638" spans="1:10" ht="80.25" customHeight="1">
      <c r="A638" s="51" t="s">
        <v>698</v>
      </c>
      <c r="B638" s="11" t="s">
        <v>699</v>
      </c>
      <c r="C638" s="12">
        <v>62</v>
      </c>
      <c r="D638" s="96"/>
      <c r="E638" s="96" t="s">
        <v>1495</v>
      </c>
      <c r="F638" s="59"/>
      <c r="G638" s="1"/>
      <c r="J638" s="13"/>
    </row>
    <row r="639" spans="1:10" ht="80.25" customHeight="1">
      <c r="A639" s="51" t="s">
        <v>700</v>
      </c>
      <c r="B639" s="11" t="s">
        <v>701</v>
      </c>
      <c r="C639" s="12">
        <v>62</v>
      </c>
      <c r="D639" s="96"/>
      <c r="E639" s="96" t="s">
        <v>1495</v>
      </c>
      <c r="F639" s="59"/>
      <c r="G639" s="1"/>
      <c r="J639" s="13"/>
    </row>
    <row r="640" spans="1:10" ht="80.25" customHeight="1">
      <c r="A640" s="51" t="s">
        <v>702</v>
      </c>
      <c r="B640" s="11" t="s">
        <v>703</v>
      </c>
      <c r="C640" s="12">
        <v>62</v>
      </c>
      <c r="D640" s="96"/>
      <c r="E640" s="96" t="s">
        <v>1495</v>
      </c>
      <c r="F640" s="59"/>
      <c r="G640" s="1"/>
      <c r="J640" s="13"/>
    </row>
    <row r="641" spans="1:10" ht="80.25" customHeight="1">
      <c r="A641" s="51" t="s">
        <v>704</v>
      </c>
      <c r="B641" s="11" t="s">
        <v>705</v>
      </c>
      <c r="C641" s="12">
        <v>62</v>
      </c>
      <c r="D641" s="96"/>
      <c r="E641" s="96" t="s">
        <v>1495</v>
      </c>
      <c r="F641" s="59"/>
      <c r="G641" s="1"/>
      <c r="J641" s="13"/>
    </row>
    <row r="642" spans="1:10" ht="80.25" customHeight="1">
      <c r="A642" s="51" t="s">
        <v>706</v>
      </c>
      <c r="B642" s="11" t="s">
        <v>707</v>
      </c>
      <c r="C642" s="12">
        <v>62</v>
      </c>
      <c r="D642" s="96"/>
      <c r="E642" s="96" t="s">
        <v>1495</v>
      </c>
      <c r="F642" s="59"/>
      <c r="G642" s="1"/>
      <c r="J642" s="13"/>
    </row>
    <row r="643" spans="1:10" ht="80.25" customHeight="1">
      <c r="A643" s="51" t="s">
        <v>708</v>
      </c>
      <c r="B643" s="11" t="s">
        <v>709</v>
      </c>
      <c r="C643" s="12">
        <v>62</v>
      </c>
      <c r="D643" s="96"/>
      <c r="E643" s="96" t="s">
        <v>1495</v>
      </c>
      <c r="F643" s="59"/>
      <c r="G643" s="1"/>
      <c r="J643" s="13"/>
    </row>
    <row r="644" spans="1:10" ht="80.25" customHeight="1">
      <c r="A644" s="51" t="s">
        <v>710</v>
      </c>
      <c r="B644" s="11" t="s">
        <v>711</v>
      </c>
      <c r="C644" s="12">
        <v>62</v>
      </c>
      <c r="D644" s="96"/>
      <c r="E644" s="96" t="s">
        <v>1495</v>
      </c>
      <c r="F644" s="59"/>
      <c r="G644" s="1"/>
      <c r="J644" s="13"/>
    </row>
    <row r="645" spans="1:10" ht="80.25" customHeight="1">
      <c r="A645" s="51" t="s">
        <v>712</v>
      </c>
      <c r="B645" s="11" t="s">
        <v>713</v>
      </c>
      <c r="C645" s="12">
        <v>62</v>
      </c>
      <c r="D645" s="96"/>
      <c r="E645" s="96" t="s">
        <v>1495</v>
      </c>
      <c r="F645" s="59"/>
      <c r="G645" s="1"/>
      <c r="J645" s="13"/>
    </row>
    <row r="646" spans="1:10" ht="80.25" customHeight="1">
      <c r="A646" s="51" t="s">
        <v>714</v>
      </c>
      <c r="B646" s="11" t="s">
        <v>715</v>
      </c>
      <c r="C646" s="12">
        <v>62</v>
      </c>
      <c r="D646" s="96"/>
      <c r="E646" s="96" t="s">
        <v>1495</v>
      </c>
      <c r="F646" s="59"/>
      <c r="G646" s="1"/>
      <c r="J646" s="13"/>
    </row>
    <row r="647" spans="1:10" ht="80.25" customHeight="1">
      <c r="A647" s="51" t="s">
        <v>716</v>
      </c>
      <c r="B647" s="11" t="s">
        <v>717</v>
      </c>
      <c r="C647" s="12">
        <v>62</v>
      </c>
      <c r="D647" s="96"/>
      <c r="E647" s="96" t="s">
        <v>1495</v>
      </c>
      <c r="F647" s="59"/>
      <c r="G647" s="1"/>
      <c r="J647" s="13"/>
    </row>
    <row r="648" spans="1:10" ht="80.25" customHeight="1">
      <c r="A648" s="51" t="s">
        <v>718</v>
      </c>
      <c r="B648" s="11" t="s">
        <v>719</v>
      </c>
      <c r="C648" s="12">
        <v>62</v>
      </c>
      <c r="D648" s="96"/>
      <c r="E648" s="96" t="s">
        <v>1495</v>
      </c>
      <c r="F648" s="59"/>
      <c r="G648" s="1"/>
      <c r="J648" s="13"/>
    </row>
    <row r="649" spans="1:10" ht="80.25" customHeight="1">
      <c r="A649" s="51" t="s">
        <v>720</v>
      </c>
      <c r="B649" s="11" t="s">
        <v>721</v>
      </c>
      <c r="C649" s="12">
        <v>62</v>
      </c>
      <c r="D649" s="96"/>
      <c r="E649" s="96" t="s">
        <v>1495</v>
      </c>
      <c r="F649" s="59"/>
      <c r="G649" s="1"/>
      <c r="J649" s="13"/>
    </row>
    <row r="650" spans="1:10" ht="80.25" customHeight="1">
      <c r="A650" s="51" t="s">
        <v>722</v>
      </c>
      <c r="B650" s="11" t="s">
        <v>723</v>
      </c>
      <c r="C650" s="12">
        <v>62</v>
      </c>
      <c r="D650" s="96"/>
      <c r="E650" s="96" t="s">
        <v>1495</v>
      </c>
      <c r="F650" s="59"/>
      <c r="G650" s="1"/>
      <c r="J650" s="13"/>
    </row>
    <row r="651" spans="1:10" ht="80.25" customHeight="1">
      <c r="A651" s="51" t="s">
        <v>724</v>
      </c>
      <c r="B651" s="11" t="s">
        <v>725</v>
      </c>
      <c r="C651" s="12">
        <v>62</v>
      </c>
      <c r="D651" s="96"/>
      <c r="E651" s="96" t="s">
        <v>1495</v>
      </c>
      <c r="F651" s="59"/>
      <c r="G651" s="1"/>
      <c r="J651" s="13"/>
    </row>
    <row r="652" spans="1:10" s="62" customFormat="1" ht="80.25" customHeight="1">
      <c r="A652" s="51" t="s">
        <v>726</v>
      </c>
      <c r="B652" s="11" t="s">
        <v>727</v>
      </c>
      <c r="C652" s="12">
        <v>62</v>
      </c>
      <c r="D652" s="96"/>
      <c r="E652" s="96" t="s">
        <v>1495</v>
      </c>
      <c r="F652" s="61"/>
      <c r="J652" s="63"/>
    </row>
    <row r="653" spans="1:10" ht="80.25" customHeight="1">
      <c r="A653" s="51" t="s">
        <v>728</v>
      </c>
      <c r="B653" s="11" t="s">
        <v>729</v>
      </c>
      <c r="C653" s="12">
        <v>62</v>
      </c>
      <c r="D653" s="96"/>
      <c r="E653" s="96" t="s">
        <v>1495</v>
      </c>
      <c r="F653" s="61"/>
      <c r="G653" s="1"/>
      <c r="J653" s="13"/>
    </row>
    <row r="654" spans="1:10" ht="80.25" customHeight="1">
      <c r="A654" s="51" t="s">
        <v>730</v>
      </c>
      <c r="B654" s="11" t="s">
        <v>731</v>
      </c>
      <c r="C654" s="12">
        <v>62</v>
      </c>
      <c r="D654" s="96"/>
      <c r="E654" s="96" t="s">
        <v>1495</v>
      </c>
      <c r="F654" s="59"/>
      <c r="G654" s="1"/>
      <c r="J654" s="13"/>
    </row>
    <row r="655" spans="1:10" ht="80.25" customHeight="1">
      <c r="A655" s="51" t="s">
        <v>732</v>
      </c>
      <c r="B655" s="11" t="s">
        <v>733</v>
      </c>
      <c r="C655" s="12">
        <v>62</v>
      </c>
      <c r="D655" s="96"/>
      <c r="E655" s="96" t="s">
        <v>1495</v>
      </c>
      <c r="F655" s="59"/>
      <c r="G655" s="1"/>
      <c r="J655" s="13"/>
    </row>
    <row r="656" spans="1:10" ht="80.25" customHeight="1">
      <c r="A656" s="51" t="s">
        <v>734</v>
      </c>
      <c r="B656" s="11" t="s">
        <v>735</v>
      </c>
      <c r="C656" s="12">
        <v>62</v>
      </c>
      <c r="D656" s="96"/>
      <c r="E656" s="96" t="s">
        <v>1495</v>
      </c>
      <c r="F656" s="59"/>
      <c r="G656" s="1"/>
      <c r="J656" s="13"/>
    </row>
    <row r="657" spans="1:10" ht="80.25" customHeight="1">
      <c r="A657" s="11" t="s">
        <v>1387</v>
      </c>
      <c r="B657" s="11" t="s">
        <v>1388</v>
      </c>
      <c r="C657" s="67">
        <v>1339</v>
      </c>
      <c r="D657" s="96"/>
      <c r="E657" s="96" t="s">
        <v>1495</v>
      </c>
      <c r="F657" s="59"/>
      <c r="G657" s="1"/>
      <c r="J657" s="13"/>
    </row>
    <row r="658" spans="1:10" ht="80.25" customHeight="1">
      <c r="A658" s="11" t="s">
        <v>1389</v>
      </c>
      <c r="B658" s="11" t="s">
        <v>1390</v>
      </c>
      <c r="C658" s="67">
        <v>1360</v>
      </c>
      <c r="D658" s="96"/>
      <c r="E658" s="96" t="s">
        <v>1495</v>
      </c>
      <c r="F658" s="59"/>
      <c r="G658" s="1"/>
      <c r="J658" s="13"/>
    </row>
    <row r="659" spans="1:10" ht="80.25" customHeight="1">
      <c r="A659" s="11" t="s">
        <v>1391</v>
      </c>
      <c r="B659" s="11" t="s">
        <v>1392</v>
      </c>
      <c r="C659" s="67">
        <v>1370</v>
      </c>
      <c r="D659" s="96"/>
      <c r="E659" s="96" t="s">
        <v>1495</v>
      </c>
      <c r="F659" s="59"/>
      <c r="G659" s="1"/>
      <c r="J659" s="13"/>
    </row>
    <row r="660" spans="1:10" ht="80.25" customHeight="1">
      <c r="A660" s="11" t="s">
        <v>1393</v>
      </c>
      <c r="B660" s="11" t="s">
        <v>1394</v>
      </c>
      <c r="C660" s="67">
        <v>1381</v>
      </c>
      <c r="D660" s="96"/>
      <c r="E660" s="96" t="s">
        <v>1495</v>
      </c>
      <c r="F660" s="59"/>
      <c r="G660" s="1"/>
      <c r="J660" s="13"/>
    </row>
    <row r="661" spans="1:10" ht="80.25" customHeight="1">
      <c r="A661" s="51" t="s">
        <v>736</v>
      </c>
      <c r="B661" s="11" t="s">
        <v>737</v>
      </c>
      <c r="C661" s="12">
        <v>129</v>
      </c>
      <c r="D661" s="96"/>
      <c r="E661" s="96" t="s">
        <v>1495</v>
      </c>
      <c r="F661" s="59"/>
      <c r="G661" s="1"/>
      <c r="J661" s="13"/>
    </row>
    <row r="662" spans="1:10" ht="80.25" customHeight="1">
      <c r="A662" s="51" t="s">
        <v>738</v>
      </c>
      <c r="B662" s="11" t="s">
        <v>413</v>
      </c>
      <c r="C662" s="12">
        <v>98</v>
      </c>
      <c r="D662" s="96"/>
      <c r="E662" s="96" t="s">
        <v>1495</v>
      </c>
      <c r="F662" s="59"/>
      <c r="G662" s="1"/>
      <c r="J662" s="13"/>
    </row>
    <row r="663" spans="1:10" ht="80.25" customHeight="1">
      <c r="A663" s="51" t="s">
        <v>739</v>
      </c>
      <c r="B663" s="11" t="s">
        <v>740</v>
      </c>
      <c r="C663" s="12">
        <v>109</v>
      </c>
      <c r="D663" s="96"/>
      <c r="E663" s="96" t="s">
        <v>1495</v>
      </c>
      <c r="F663" s="59"/>
      <c r="G663" s="1"/>
      <c r="J663" s="13"/>
    </row>
    <row r="664" spans="1:10" ht="80.25" customHeight="1">
      <c r="A664" s="51" t="s">
        <v>741</v>
      </c>
      <c r="B664" s="11" t="s">
        <v>742</v>
      </c>
      <c r="C664" s="12">
        <v>129</v>
      </c>
      <c r="D664" s="96"/>
      <c r="E664" s="96" t="s">
        <v>1495</v>
      </c>
      <c r="F664" s="59"/>
      <c r="G664" s="1"/>
      <c r="J664" s="13"/>
    </row>
    <row r="665" spans="1:10" ht="80.25" customHeight="1">
      <c r="A665" s="51" t="s">
        <v>743</v>
      </c>
      <c r="B665" s="11" t="s">
        <v>744</v>
      </c>
      <c r="C665" s="12">
        <v>109</v>
      </c>
      <c r="D665" s="96"/>
      <c r="E665" s="96" t="s">
        <v>1495</v>
      </c>
      <c r="F665" s="59"/>
      <c r="G665" s="1"/>
      <c r="J665" s="13"/>
    </row>
    <row r="666" spans="1:10" ht="80.25" customHeight="1">
      <c r="A666" s="75" t="s">
        <v>1479</v>
      </c>
      <c r="B666" s="75" t="s">
        <v>1480</v>
      </c>
      <c r="C666" s="44">
        <v>3480</v>
      </c>
      <c r="D666" s="96"/>
      <c r="E666" s="96" t="s">
        <v>1495</v>
      </c>
      <c r="F666" s="59"/>
      <c r="G666" s="1"/>
      <c r="J666" s="13"/>
    </row>
    <row r="667" spans="1:10" ht="80.25" customHeight="1">
      <c r="A667" s="17" t="s">
        <v>30</v>
      </c>
      <c r="B667" s="11" t="s">
        <v>31</v>
      </c>
      <c r="C667" s="12">
        <v>680</v>
      </c>
      <c r="D667" s="124"/>
      <c r="E667" s="119" t="s">
        <v>1494</v>
      </c>
      <c r="F667" s="59"/>
      <c r="G667" s="1"/>
      <c r="J667" s="13"/>
    </row>
    <row r="668" spans="1:10" ht="80.25" customHeight="1">
      <c r="A668" s="17" t="s">
        <v>32</v>
      </c>
      <c r="B668" s="11" t="s">
        <v>33</v>
      </c>
      <c r="C668" s="12">
        <v>927</v>
      </c>
      <c r="D668" s="119"/>
      <c r="E668" s="119" t="s">
        <v>1494</v>
      </c>
      <c r="F668" s="59"/>
      <c r="G668" s="1"/>
      <c r="J668" s="13"/>
    </row>
    <row r="669" spans="1:10" ht="80.25" customHeight="1">
      <c r="A669" s="17" t="s">
        <v>26</v>
      </c>
      <c r="B669" s="11" t="s">
        <v>27</v>
      </c>
      <c r="C669" s="12">
        <v>680</v>
      </c>
      <c r="D669" s="119"/>
      <c r="E669" s="119" t="s">
        <v>1494</v>
      </c>
      <c r="F669" s="59"/>
      <c r="G669" s="1"/>
      <c r="J669" s="13"/>
    </row>
    <row r="670" spans="1:10" ht="80.25" customHeight="1">
      <c r="A670" s="17" t="s">
        <v>28</v>
      </c>
      <c r="B670" s="11" t="s">
        <v>29</v>
      </c>
      <c r="C670" s="12">
        <v>927</v>
      </c>
      <c r="D670" s="55"/>
      <c r="E670" s="119" t="s">
        <v>1494</v>
      </c>
      <c r="F670" s="59"/>
      <c r="G670" s="1"/>
      <c r="J670" s="13"/>
    </row>
    <row r="671" spans="1:10" ht="80.25" customHeight="1">
      <c r="A671" s="17">
        <v>100</v>
      </c>
      <c r="B671" s="11" t="s">
        <v>24</v>
      </c>
      <c r="C671" s="12">
        <v>804</v>
      </c>
      <c r="D671" s="119"/>
      <c r="E671" s="119" t="s">
        <v>1494</v>
      </c>
      <c r="F671" s="59"/>
      <c r="G671" s="1"/>
      <c r="J671" s="13"/>
    </row>
    <row r="672" spans="1:10" ht="80.25" customHeight="1">
      <c r="A672" s="17">
        <v>101</v>
      </c>
      <c r="B672" s="11" t="s">
        <v>25</v>
      </c>
      <c r="C672" s="12">
        <v>1030</v>
      </c>
      <c r="D672" s="119"/>
      <c r="E672" s="119" t="s">
        <v>1494</v>
      </c>
      <c r="F672" s="59"/>
      <c r="G672" s="1"/>
      <c r="J672" s="13"/>
    </row>
    <row r="673" spans="1:10" ht="80.25" customHeight="1">
      <c r="A673" s="25" t="s">
        <v>82</v>
      </c>
      <c r="B673" s="11" t="s">
        <v>83</v>
      </c>
      <c r="C673" s="12">
        <v>7710</v>
      </c>
      <c r="D673" s="96"/>
      <c r="E673" s="96" t="s">
        <v>1500</v>
      </c>
      <c r="F673" s="59"/>
      <c r="G673" s="1"/>
      <c r="J673" s="13"/>
    </row>
    <row r="674" spans="1:10" ht="80.25" customHeight="1">
      <c r="A674" s="25" t="s">
        <v>84</v>
      </c>
      <c r="B674" s="11" t="s">
        <v>85</v>
      </c>
      <c r="C674" s="12">
        <v>7123</v>
      </c>
      <c r="D674" s="96"/>
      <c r="E674" s="96" t="s">
        <v>1500</v>
      </c>
      <c r="F674" s="59"/>
      <c r="G674" s="1"/>
      <c r="J674" s="13"/>
    </row>
    <row r="675" spans="1:10" ht="80.25" customHeight="1">
      <c r="A675" s="25" t="s">
        <v>86</v>
      </c>
      <c r="B675" s="11" t="s">
        <v>87</v>
      </c>
      <c r="C675" s="12">
        <v>7185</v>
      </c>
      <c r="D675" s="96"/>
      <c r="E675" s="96" t="s">
        <v>1500</v>
      </c>
      <c r="F675" s="59"/>
      <c r="G675" s="1"/>
      <c r="J675" s="13"/>
    </row>
    <row r="676" spans="1:10" ht="80.25" customHeight="1">
      <c r="A676" s="25" t="s">
        <v>88</v>
      </c>
      <c r="B676" s="11" t="s">
        <v>89</v>
      </c>
      <c r="C676" s="12">
        <v>6598</v>
      </c>
      <c r="D676" s="96"/>
      <c r="E676" s="96" t="s">
        <v>1500</v>
      </c>
      <c r="F676" s="59"/>
      <c r="G676" s="1"/>
      <c r="J676" s="13"/>
    </row>
    <row r="677" spans="1:10" ht="80.25" customHeight="1">
      <c r="A677" s="25" t="s">
        <v>106</v>
      </c>
      <c r="B677" s="11" t="s">
        <v>107</v>
      </c>
      <c r="C677" s="12">
        <v>5295</v>
      </c>
      <c r="D677" s="96"/>
      <c r="E677" s="96" t="s">
        <v>1500</v>
      </c>
      <c r="F677" s="59"/>
      <c r="G677" s="1"/>
      <c r="J677" s="13"/>
    </row>
    <row r="678" spans="1:10" ht="80.25" customHeight="1">
      <c r="A678" s="25" t="s">
        <v>108</v>
      </c>
      <c r="B678" s="11" t="s">
        <v>109</v>
      </c>
      <c r="C678" s="12">
        <v>3456</v>
      </c>
      <c r="D678" s="96"/>
      <c r="E678" s="96" t="s">
        <v>1500</v>
      </c>
      <c r="F678" s="59"/>
      <c r="G678" s="1"/>
      <c r="J678" s="13"/>
    </row>
    <row r="679" spans="1:10" ht="80.25" customHeight="1">
      <c r="A679" s="25" t="s">
        <v>110</v>
      </c>
      <c r="B679" s="11" t="s">
        <v>111</v>
      </c>
      <c r="C679" s="12">
        <v>5336</v>
      </c>
      <c r="D679" s="96"/>
      <c r="E679" s="96" t="s">
        <v>1500</v>
      </c>
      <c r="F679" s="59"/>
      <c r="G679" s="1"/>
      <c r="J679" s="13"/>
    </row>
    <row r="680" spans="1:10" ht="80.25" customHeight="1">
      <c r="A680" s="25" t="s">
        <v>112</v>
      </c>
      <c r="B680" s="11" t="s">
        <v>113</v>
      </c>
      <c r="C680" s="12">
        <v>3595</v>
      </c>
      <c r="D680" s="96"/>
      <c r="E680" s="96" t="s">
        <v>1500</v>
      </c>
      <c r="F680" s="59"/>
      <c r="G680" s="1"/>
      <c r="J680" s="13"/>
    </row>
    <row r="681" spans="1:10" ht="80.25" customHeight="1">
      <c r="A681" s="25" t="s">
        <v>114</v>
      </c>
      <c r="B681" s="11" t="s">
        <v>115</v>
      </c>
      <c r="C681" s="12">
        <v>2488</v>
      </c>
      <c r="D681" s="96"/>
      <c r="E681" s="96" t="s">
        <v>1500</v>
      </c>
      <c r="F681" s="59"/>
      <c r="G681" s="1"/>
      <c r="J681" s="13"/>
    </row>
    <row r="682" spans="1:10" ht="80.25" customHeight="1">
      <c r="A682" s="25" t="s">
        <v>116</v>
      </c>
      <c r="B682" s="11" t="s">
        <v>117</v>
      </c>
      <c r="C682" s="12">
        <v>2369</v>
      </c>
      <c r="D682" s="96"/>
      <c r="E682" s="96" t="s">
        <v>1500</v>
      </c>
      <c r="F682" s="59"/>
      <c r="G682" s="1"/>
      <c r="J682" s="13"/>
    </row>
    <row r="683" spans="1:10" ht="80.25" customHeight="1">
      <c r="A683" s="25" t="s">
        <v>94</v>
      </c>
      <c r="B683" s="11" t="s">
        <v>95</v>
      </c>
      <c r="C683" s="12">
        <v>8755</v>
      </c>
      <c r="D683" s="96"/>
      <c r="E683" s="96" t="s">
        <v>1500</v>
      </c>
      <c r="F683" s="59"/>
      <c r="G683" s="1"/>
      <c r="J683" s="13"/>
    </row>
    <row r="684" spans="1:10" ht="80.25" customHeight="1">
      <c r="A684" s="25" t="s">
        <v>118</v>
      </c>
      <c r="B684" s="11" t="s">
        <v>119</v>
      </c>
      <c r="C684" s="12">
        <v>1190</v>
      </c>
      <c r="D684" s="96"/>
      <c r="E684" s="96" t="s">
        <v>1500</v>
      </c>
      <c r="F684" s="59"/>
      <c r="G684" s="1"/>
      <c r="J684" s="13"/>
    </row>
    <row r="685" spans="1:10" ht="80.25" customHeight="1">
      <c r="A685" s="25" t="s">
        <v>96</v>
      </c>
      <c r="B685" s="11" t="s">
        <v>97</v>
      </c>
      <c r="C685" s="12">
        <v>10558</v>
      </c>
      <c r="D685" s="96"/>
      <c r="E685" s="96" t="s">
        <v>1500</v>
      </c>
      <c r="F685" s="59"/>
      <c r="G685" s="1"/>
      <c r="J685" s="13"/>
    </row>
    <row r="686" spans="1:10" ht="80.25" customHeight="1">
      <c r="A686" s="25" t="s">
        <v>92</v>
      </c>
      <c r="B686" s="11" t="s">
        <v>93</v>
      </c>
      <c r="C686" s="12">
        <v>5717</v>
      </c>
      <c r="D686" s="96"/>
      <c r="E686" s="96" t="s">
        <v>1500</v>
      </c>
      <c r="F686" s="59"/>
      <c r="G686" s="1"/>
      <c r="J686" s="13"/>
    </row>
    <row r="687" spans="1:10" ht="80.25" customHeight="1">
      <c r="A687" s="26" t="s">
        <v>120</v>
      </c>
      <c r="B687" s="11" t="s">
        <v>121</v>
      </c>
      <c r="C687" s="12">
        <v>5629</v>
      </c>
      <c r="D687" s="96"/>
      <c r="E687" s="96" t="s">
        <v>1500</v>
      </c>
      <c r="F687" s="59"/>
      <c r="G687" s="1"/>
      <c r="J687" s="13"/>
    </row>
    <row r="688" spans="1:10" ht="80.25" customHeight="1">
      <c r="A688" s="27" t="s">
        <v>122</v>
      </c>
      <c r="B688" s="11" t="s">
        <v>123</v>
      </c>
      <c r="C688" s="12">
        <v>5573</v>
      </c>
      <c r="D688" s="96"/>
      <c r="E688" s="96" t="s">
        <v>1500</v>
      </c>
      <c r="F688" s="59"/>
      <c r="G688" s="1"/>
      <c r="J688" s="13"/>
    </row>
    <row r="689" spans="1:10" ht="80.25" customHeight="1">
      <c r="A689" s="27" t="s">
        <v>124</v>
      </c>
      <c r="B689" s="11" t="s">
        <v>125</v>
      </c>
      <c r="C689" s="12">
        <v>5573</v>
      </c>
      <c r="D689" s="96"/>
      <c r="E689" s="96" t="s">
        <v>1500</v>
      </c>
      <c r="F689" s="59"/>
      <c r="G689" s="1"/>
      <c r="J689" s="13"/>
    </row>
    <row r="690" spans="1:10" ht="80.25" customHeight="1">
      <c r="A690" s="27" t="s">
        <v>126</v>
      </c>
      <c r="B690" s="11" t="s">
        <v>127</v>
      </c>
      <c r="C690" s="12">
        <v>4666</v>
      </c>
      <c r="D690" s="96"/>
      <c r="E690" s="96" t="s">
        <v>1500</v>
      </c>
      <c r="F690" s="59"/>
      <c r="G690" s="1"/>
      <c r="J690" s="13"/>
    </row>
    <row r="691" spans="1:10" ht="80.25" customHeight="1">
      <c r="A691" s="27" t="s">
        <v>128</v>
      </c>
      <c r="B691" s="11" t="s">
        <v>129</v>
      </c>
      <c r="C691" s="12">
        <v>4615</v>
      </c>
      <c r="D691" s="96"/>
      <c r="E691" s="96" t="s">
        <v>1500</v>
      </c>
      <c r="F691" s="59"/>
      <c r="G691" s="1"/>
      <c r="J691" s="13"/>
    </row>
    <row r="692" spans="1:10" ht="80.25" customHeight="1">
      <c r="A692" s="27" t="s">
        <v>130</v>
      </c>
      <c r="B692" s="11" t="s">
        <v>131</v>
      </c>
      <c r="C692" s="12">
        <v>3276</v>
      </c>
      <c r="D692" s="96"/>
      <c r="E692" s="96" t="s">
        <v>1500</v>
      </c>
      <c r="F692" s="59"/>
      <c r="G692" s="1"/>
      <c r="J692" s="13"/>
    </row>
    <row r="693" spans="1:10" ht="80.25" customHeight="1">
      <c r="A693" s="27" t="s">
        <v>132</v>
      </c>
      <c r="B693" s="11" t="s">
        <v>133</v>
      </c>
      <c r="C693" s="12">
        <v>3219</v>
      </c>
      <c r="D693" s="96"/>
      <c r="E693" s="96" t="s">
        <v>1500</v>
      </c>
      <c r="F693" s="59"/>
      <c r="G693" s="1"/>
      <c r="J693" s="13"/>
    </row>
    <row r="694" spans="1:10" ht="80.25" customHeight="1">
      <c r="A694" s="27" t="s">
        <v>134</v>
      </c>
      <c r="B694" s="11" t="s">
        <v>135</v>
      </c>
      <c r="C694" s="12">
        <v>4476</v>
      </c>
      <c r="D694" s="96"/>
      <c r="E694" s="96" t="s">
        <v>1500</v>
      </c>
      <c r="F694" s="59"/>
      <c r="G694" s="1"/>
      <c r="J694" s="13"/>
    </row>
    <row r="695" spans="1:10" ht="80.25" customHeight="1">
      <c r="A695" s="27" t="s">
        <v>136</v>
      </c>
      <c r="B695" s="11" t="s">
        <v>137</v>
      </c>
      <c r="C695" s="12">
        <v>4126</v>
      </c>
      <c r="D695" s="96"/>
      <c r="E695" s="96" t="s">
        <v>1500</v>
      </c>
      <c r="F695" s="59"/>
      <c r="G695" s="1"/>
      <c r="J695" s="13"/>
    </row>
    <row r="696" spans="1:10" ht="80.25" customHeight="1">
      <c r="A696" s="27" t="s">
        <v>138</v>
      </c>
      <c r="B696" s="11" t="s">
        <v>139</v>
      </c>
      <c r="C696" s="12">
        <v>4543</v>
      </c>
      <c r="D696" s="96"/>
      <c r="E696" s="96" t="s">
        <v>1500</v>
      </c>
      <c r="F696" s="59"/>
      <c r="G696" s="1"/>
      <c r="J696" s="13"/>
    </row>
    <row r="697" spans="1:10" ht="80.25" customHeight="1">
      <c r="A697" s="27" t="s">
        <v>144</v>
      </c>
      <c r="B697" s="11" t="s">
        <v>145</v>
      </c>
      <c r="C697" s="12">
        <v>6402</v>
      </c>
      <c r="D697" s="96"/>
      <c r="E697" s="96" t="s">
        <v>1500</v>
      </c>
      <c r="F697" s="59"/>
      <c r="G697" s="1"/>
      <c r="J697" s="13"/>
    </row>
    <row r="698" spans="1:10" ht="80.25" customHeight="1">
      <c r="A698" s="27" t="s">
        <v>146</v>
      </c>
      <c r="B698" s="11" t="s">
        <v>147</v>
      </c>
      <c r="C698" s="12">
        <v>6350</v>
      </c>
      <c r="D698" s="96"/>
      <c r="E698" s="96" t="s">
        <v>1500</v>
      </c>
      <c r="F698" s="59"/>
      <c r="G698" s="1"/>
      <c r="J698" s="13"/>
    </row>
    <row r="699" spans="1:10" ht="80.25" customHeight="1">
      <c r="A699" s="27" t="s">
        <v>148</v>
      </c>
      <c r="B699" s="11" t="s">
        <v>149</v>
      </c>
      <c r="C699" s="12">
        <v>6350</v>
      </c>
      <c r="D699" s="96"/>
      <c r="E699" s="96" t="s">
        <v>1500</v>
      </c>
      <c r="F699" s="59"/>
      <c r="G699" s="1"/>
      <c r="J699" s="13"/>
    </row>
    <row r="700" spans="1:10" ht="80.25" customHeight="1">
      <c r="A700" s="27" t="s">
        <v>150</v>
      </c>
      <c r="B700" s="11" t="s">
        <v>151</v>
      </c>
      <c r="C700" s="12">
        <v>5665</v>
      </c>
      <c r="D700" s="96"/>
      <c r="E700" s="96" t="s">
        <v>1500</v>
      </c>
      <c r="F700" s="59"/>
      <c r="G700" s="1"/>
      <c r="J700" s="13"/>
    </row>
    <row r="701" spans="1:10" ht="80.25" customHeight="1">
      <c r="A701" s="27" t="s">
        <v>152</v>
      </c>
      <c r="B701" s="11" t="s">
        <v>153</v>
      </c>
      <c r="C701" s="12">
        <v>5665</v>
      </c>
      <c r="D701" s="96"/>
      <c r="E701" s="96" t="s">
        <v>1500</v>
      </c>
      <c r="F701" s="59"/>
      <c r="G701" s="1"/>
      <c r="J701" s="13"/>
    </row>
    <row r="702" spans="1:10" ht="80.25" customHeight="1">
      <c r="A702" s="27" t="s">
        <v>140</v>
      </c>
      <c r="B702" s="11" t="s">
        <v>141</v>
      </c>
      <c r="C702" s="12">
        <v>4738</v>
      </c>
      <c r="D702" s="96"/>
      <c r="E702" s="96" t="s">
        <v>1500</v>
      </c>
      <c r="F702" s="59"/>
      <c r="G702" s="1"/>
      <c r="J702" s="13"/>
    </row>
    <row r="703" spans="1:10" ht="80.25" customHeight="1">
      <c r="A703" s="27" t="s">
        <v>142</v>
      </c>
      <c r="B703" s="11" t="s">
        <v>143</v>
      </c>
      <c r="C703" s="12">
        <v>4738</v>
      </c>
      <c r="D703" s="96"/>
      <c r="E703" s="96" t="s">
        <v>1500</v>
      </c>
      <c r="F703" s="59"/>
      <c r="G703" s="1"/>
      <c r="J703" s="13"/>
    </row>
    <row r="704" spans="1:10" ht="80.25" customHeight="1">
      <c r="A704" s="27" t="s">
        <v>154</v>
      </c>
      <c r="B704" s="11" t="s">
        <v>155</v>
      </c>
      <c r="C704" s="12">
        <v>6119</v>
      </c>
      <c r="D704" s="96"/>
      <c r="E704" s="96" t="s">
        <v>1500</v>
      </c>
      <c r="F704" s="59"/>
      <c r="G704" s="1"/>
      <c r="J704" s="13"/>
    </row>
    <row r="705" spans="1:10" ht="80.25" customHeight="1">
      <c r="A705" s="27" t="s">
        <v>156</v>
      </c>
      <c r="B705" s="11" t="s">
        <v>157</v>
      </c>
      <c r="C705" s="12">
        <v>5434</v>
      </c>
      <c r="D705" s="96"/>
      <c r="E705" s="96" t="s">
        <v>1500</v>
      </c>
      <c r="F705" s="59"/>
      <c r="G705" s="1"/>
      <c r="J705" s="13"/>
    </row>
    <row r="706" spans="1:10" ht="80.25" customHeight="1">
      <c r="A706" s="27" t="s">
        <v>158</v>
      </c>
      <c r="B706" s="11" t="s">
        <v>159</v>
      </c>
      <c r="C706" s="12">
        <v>6186</v>
      </c>
      <c r="D706" s="96"/>
      <c r="E706" s="96" t="s">
        <v>1500</v>
      </c>
      <c r="F706" s="59"/>
      <c r="G706" s="1"/>
      <c r="J706" s="13"/>
    </row>
    <row r="707" spans="1:10" ht="80.25" customHeight="1">
      <c r="A707" s="27" t="s">
        <v>160</v>
      </c>
      <c r="B707" s="11" t="s">
        <v>161</v>
      </c>
      <c r="C707" s="12">
        <v>8009</v>
      </c>
      <c r="D707" s="96"/>
      <c r="E707" s="96" t="s">
        <v>1500</v>
      </c>
      <c r="F707" s="59"/>
      <c r="G707" s="1"/>
      <c r="J707" s="13"/>
    </row>
    <row r="708" spans="1:10" ht="80.25" customHeight="1">
      <c r="A708" s="27" t="s">
        <v>162</v>
      </c>
      <c r="B708" s="11" t="s">
        <v>163</v>
      </c>
      <c r="C708" s="12">
        <v>7942</v>
      </c>
      <c r="D708" s="96"/>
      <c r="E708" s="96" t="s">
        <v>1500</v>
      </c>
      <c r="F708" s="59"/>
      <c r="G708" s="1"/>
      <c r="J708" s="13"/>
    </row>
    <row r="709" spans="1:10" ht="80.25" customHeight="1">
      <c r="A709" s="27" t="s">
        <v>164</v>
      </c>
      <c r="B709" s="11" t="s">
        <v>165</v>
      </c>
      <c r="C709" s="12">
        <v>7942</v>
      </c>
      <c r="D709" s="96"/>
      <c r="E709" s="96" t="s">
        <v>1500</v>
      </c>
      <c r="F709" s="59"/>
      <c r="G709" s="1"/>
      <c r="J709" s="13"/>
    </row>
    <row r="710" spans="1:10" ht="80.25" customHeight="1">
      <c r="A710" s="27" t="s">
        <v>166</v>
      </c>
      <c r="B710" s="11" t="s">
        <v>167</v>
      </c>
      <c r="C710" s="12">
        <v>7046</v>
      </c>
      <c r="D710" s="96"/>
      <c r="E710" s="96" t="s">
        <v>1500</v>
      </c>
      <c r="F710" s="59"/>
      <c r="G710" s="1"/>
      <c r="J710" s="13"/>
    </row>
    <row r="711" spans="1:10" ht="80.25" customHeight="1">
      <c r="A711" s="27" t="s">
        <v>168</v>
      </c>
      <c r="B711" s="11" t="s">
        <v>169</v>
      </c>
      <c r="C711" s="12">
        <v>7046</v>
      </c>
      <c r="D711" s="96"/>
      <c r="E711" s="96" t="s">
        <v>1500</v>
      </c>
      <c r="F711" s="59"/>
      <c r="G711" s="1"/>
      <c r="J711" s="13"/>
    </row>
    <row r="712" spans="1:10" ht="80.25" customHeight="1">
      <c r="A712" s="27" t="s">
        <v>170</v>
      </c>
      <c r="B712" s="11" t="s">
        <v>171</v>
      </c>
      <c r="C712" s="12">
        <v>7380</v>
      </c>
      <c r="D712" s="96"/>
      <c r="E712" s="96" t="s">
        <v>1500</v>
      </c>
      <c r="F712" s="59"/>
      <c r="G712" s="1"/>
      <c r="J712" s="13"/>
    </row>
    <row r="713" spans="1:10" ht="80.25" customHeight="1">
      <c r="A713" s="27" t="s">
        <v>172</v>
      </c>
      <c r="B713" s="11" t="s">
        <v>173</v>
      </c>
      <c r="C713" s="12">
        <v>6695</v>
      </c>
      <c r="D713" s="96"/>
      <c r="E713" s="96" t="s">
        <v>1500</v>
      </c>
      <c r="F713" s="59"/>
      <c r="G713" s="1"/>
      <c r="J713" s="13"/>
    </row>
    <row r="714" spans="1:10" ht="80.25" customHeight="1">
      <c r="A714" s="27" t="s">
        <v>174</v>
      </c>
      <c r="B714" s="11" t="s">
        <v>175</v>
      </c>
      <c r="C714" s="12">
        <v>7447</v>
      </c>
      <c r="D714" s="96"/>
      <c r="E714" s="96" t="s">
        <v>1500</v>
      </c>
      <c r="F714" s="59"/>
      <c r="G714" s="1"/>
      <c r="J714" s="13"/>
    </row>
    <row r="715" spans="1:10" ht="80.25" customHeight="1">
      <c r="A715" s="27" t="s">
        <v>176</v>
      </c>
      <c r="B715" s="11" t="s">
        <v>177</v>
      </c>
      <c r="C715" s="12">
        <v>2519</v>
      </c>
      <c r="D715" s="96"/>
      <c r="E715" s="96" t="s">
        <v>1500</v>
      </c>
      <c r="F715" s="59"/>
      <c r="G715" s="1"/>
      <c r="J715" s="13"/>
    </row>
    <row r="716" spans="1:10" ht="80.25" customHeight="1">
      <c r="A716" s="23" t="s">
        <v>74</v>
      </c>
      <c r="B716" s="11" t="s">
        <v>75</v>
      </c>
      <c r="C716" s="12">
        <v>6335</v>
      </c>
      <c r="D716" s="96"/>
      <c r="E716" s="96" t="s">
        <v>1500</v>
      </c>
      <c r="F716" s="59"/>
      <c r="G716" s="1"/>
      <c r="J716" s="13"/>
    </row>
    <row r="717" spans="1:10" ht="80.25" customHeight="1">
      <c r="A717" s="23" t="s">
        <v>58</v>
      </c>
      <c r="B717" s="11" t="s">
        <v>59</v>
      </c>
      <c r="C717" s="12">
        <v>19478</v>
      </c>
      <c r="D717" s="96"/>
      <c r="E717" s="96" t="s">
        <v>1500</v>
      </c>
      <c r="F717" s="59"/>
      <c r="G717" s="1"/>
      <c r="J717" s="13"/>
    </row>
    <row r="718" spans="1:10" ht="80.25" customHeight="1">
      <c r="A718" s="23" t="s">
        <v>60</v>
      </c>
      <c r="B718" s="11" t="s">
        <v>61</v>
      </c>
      <c r="C718" s="12">
        <v>20719</v>
      </c>
      <c r="D718" s="96"/>
      <c r="E718" s="96" t="s">
        <v>1500</v>
      </c>
      <c r="F718" s="59"/>
      <c r="G718" s="1"/>
      <c r="J718" s="13"/>
    </row>
    <row r="719" spans="1:10" ht="80.25" customHeight="1">
      <c r="A719" s="23" t="s">
        <v>62</v>
      </c>
      <c r="B719" s="11" t="s">
        <v>63</v>
      </c>
      <c r="C719" s="12">
        <v>15842</v>
      </c>
      <c r="D719" s="96"/>
      <c r="E719" s="96" t="s">
        <v>1500</v>
      </c>
      <c r="F719" s="59"/>
      <c r="G719" s="1"/>
      <c r="J719" s="13"/>
    </row>
    <row r="720" spans="1:10" ht="80.25" customHeight="1">
      <c r="A720" s="23" t="s">
        <v>64</v>
      </c>
      <c r="B720" s="11" t="s">
        <v>65</v>
      </c>
      <c r="C720" s="12">
        <v>16450</v>
      </c>
      <c r="D720" s="96"/>
      <c r="E720" s="96" t="s">
        <v>1500</v>
      </c>
      <c r="F720" s="59"/>
      <c r="G720" s="1"/>
      <c r="J720" s="13"/>
    </row>
    <row r="721" spans="1:10" ht="80.25" customHeight="1">
      <c r="A721" s="23" t="s">
        <v>76</v>
      </c>
      <c r="B721" s="11" t="s">
        <v>77</v>
      </c>
      <c r="C721" s="12">
        <v>4785</v>
      </c>
      <c r="D721" s="96"/>
      <c r="E721" s="96" t="s">
        <v>1500</v>
      </c>
      <c r="F721" s="59"/>
      <c r="G721" s="1"/>
      <c r="J721" s="13"/>
    </row>
    <row r="722" spans="1:10" ht="80.25" customHeight="1">
      <c r="A722" s="23" t="s">
        <v>66</v>
      </c>
      <c r="B722" s="11" t="s">
        <v>67</v>
      </c>
      <c r="C722" s="12">
        <v>17928</v>
      </c>
      <c r="D722" s="96"/>
      <c r="E722" s="96" t="s">
        <v>1500</v>
      </c>
      <c r="F722" s="59"/>
      <c r="G722" s="1"/>
      <c r="J722" s="13"/>
    </row>
    <row r="723" spans="1:10" ht="80.25" customHeight="1">
      <c r="A723" s="23" t="s">
        <v>68</v>
      </c>
      <c r="B723" s="11" t="s">
        <v>69</v>
      </c>
      <c r="C723" s="12">
        <v>19169</v>
      </c>
      <c r="D723" s="96"/>
      <c r="E723" s="96" t="s">
        <v>1500</v>
      </c>
      <c r="F723" s="59"/>
      <c r="G723" s="1"/>
      <c r="J723" s="13"/>
    </row>
    <row r="724" spans="1:10" ht="80.25" customHeight="1">
      <c r="A724" s="23" t="s">
        <v>70</v>
      </c>
      <c r="B724" s="11" t="s">
        <v>71</v>
      </c>
      <c r="C724" s="12">
        <v>14292</v>
      </c>
      <c r="D724" s="96"/>
      <c r="E724" s="96" t="s">
        <v>1500</v>
      </c>
      <c r="F724" s="59"/>
      <c r="G724" s="1"/>
      <c r="J724" s="13"/>
    </row>
    <row r="725" spans="1:10" ht="80.25" customHeight="1">
      <c r="A725" s="23" t="s">
        <v>72</v>
      </c>
      <c r="B725" s="11" t="s">
        <v>73</v>
      </c>
      <c r="C725" s="12">
        <v>14899</v>
      </c>
      <c r="D725" s="96"/>
      <c r="E725" s="96" t="s">
        <v>1500</v>
      </c>
      <c r="F725" s="59"/>
      <c r="G725" s="1"/>
      <c r="J725" s="13"/>
    </row>
    <row r="726" spans="1:10" ht="80.25" customHeight="1">
      <c r="A726" s="19" t="s">
        <v>50</v>
      </c>
      <c r="B726" s="11" t="s">
        <v>51</v>
      </c>
      <c r="C726" s="12">
        <v>13627</v>
      </c>
      <c r="D726" s="96"/>
      <c r="E726" s="96" t="s">
        <v>1500</v>
      </c>
      <c r="F726" s="59"/>
      <c r="G726" s="1"/>
      <c r="J726" s="13"/>
    </row>
    <row r="727" spans="1:10" ht="80.25" customHeight="1">
      <c r="A727" s="19" t="s">
        <v>52</v>
      </c>
      <c r="B727" s="11" t="s">
        <v>53</v>
      </c>
      <c r="C727" s="12">
        <v>14869</v>
      </c>
      <c r="D727" s="96"/>
      <c r="E727" s="96" t="s">
        <v>1500</v>
      </c>
      <c r="F727" s="59"/>
      <c r="G727" s="1"/>
      <c r="J727" s="13"/>
    </row>
    <row r="728" spans="1:10" ht="80.25" customHeight="1">
      <c r="A728" s="19" t="s">
        <v>54</v>
      </c>
      <c r="B728" s="11" t="s">
        <v>55</v>
      </c>
      <c r="C728" s="12">
        <v>10074</v>
      </c>
      <c r="D728" s="96"/>
      <c r="E728" s="96" t="s">
        <v>1500</v>
      </c>
      <c r="F728" s="59"/>
      <c r="G728" s="1"/>
      <c r="J728" s="13"/>
    </row>
    <row r="729" spans="1:10" ht="80.25" customHeight="1">
      <c r="A729" s="19" t="s">
        <v>56</v>
      </c>
      <c r="B729" s="11" t="s">
        <v>57</v>
      </c>
      <c r="C729" s="12">
        <v>10682</v>
      </c>
      <c r="D729" s="96"/>
      <c r="E729" s="96" t="s">
        <v>1500</v>
      </c>
      <c r="F729" s="59"/>
      <c r="G729" s="1"/>
      <c r="J729" s="13"/>
    </row>
    <row r="730" spans="1:10" ht="80.25" customHeight="1">
      <c r="A730" s="19" t="s">
        <v>42</v>
      </c>
      <c r="B730" s="11" t="s">
        <v>43</v>
      </c>
      <c r="C730" s="12">
        <v>16491</v>
      </c>
      <c r="D730" s="96"/>
      <c r="E730" s="96" t="s">
        <v>1500</v>
      </c>
      <c r="F730" s="59"/>
      <c r="G730" s="1"/>
      <c r="J730" s="13"/>
    </row>
    <row r="731" spans="1:10" ht="80.25" customHeight="1">
      <c r="A731" s="19" t="s">
        <v>44</v>
      </c>
      <c r="B731" s="11" t="s">
        <v>45</v>
      </c>
      <c r="C731" s="12">
        <v>17732</v>
      </c>
      <c r="D731" s="96"/>
      <c r="E731" s="96" t="s">
        <v>1500</v>
      </c>
      <c r="F731" s="59"/>
      <c r="G731" s="1"/>
      <c r="J731" s="13"/>
    </row>
    <row r="732" spans="1:10" ht="80.25" customHeight="1">
      <c r="A732" s="19" t="s">
        <v>46</v>
      </c>
      <c r="B732" s="11" t="s">
        <v>47</v>
      </c>
      <c r="C732" s="12">
        <v>12937</v>
      </c>
      <c r="D732" s="96"/>
      <c r="E732" s="96" t="s">
        <v>1500</v>
      </c>
      <c r="F732" s="59"/>
      <c r="G732" s="1"/>
      <c r="J732" s="13"/>
    </row>
    <row r="733" spans="1:10" ht="80.25" customHeight="1">
      <c r="A733" s="19" t="s">
        <v>48</v>
      </c>
      <c r="B733" s="11" t="s">
        <v>49</v>
      </c>
      <c r="C733" s="12">
        <v>13545</v>
      </c>
      <c r="D733" s="96"/>
      <c r="E733" s="96" t="s">
        <v>1500</v>
      </c>
      <c r="F733" s="59"/>
      <c r="G733" s="1"/>
      <c r="J733" s="13"/>
    </row>
    <row r="734" spans="1:10" ht="80.25" customHeight="1">
      <c r="A734" s="37" t="s">
        <v>233</v>
      </c>
      <c r="B734" s="11" t="s">
        <v>234</v>
      </c>
      <c r="C734" s="12">
        <v>5454</v>
      </c>
      <c r="D734" s="121"/>
      <c r="E734" s="119" t="s">
        <v>1497</v>
      </c>
      <c r="F734" s="59"/>
      <c r="G734" s="1"/>
      <c r="J734" s="13"/>
    </row>
    <row r="735" spans="1:10" ht="80.25" customHeight="1">
      <c r="A735" s="37" t="s">
        <v>231</v>
      </c>
      <c r="B735" s="11" t="s">
        <v>232</v>
      </c>
      <c r="C735" s="12">
        <v>5454</v>
      </c>
      <c r="D735" s="121"/>
      <c r="E735" s="119" t="s">
        <v>1497</v>
      </c>
      <c r="F735" s="59"/>
      <c r="G735" s="1"/>
      <c r="J735" s="13"/>
    </row>
    <row r="736" spans="1:10" ht="80.25" customHeight="1">
      <c r="A736" s="37" t="s">
        <v>229</v>
      </c>
      <c r="B736" s="11" t="s">
        <v>230</v>
      </c>
      <c r="C736" s="12">
        <v>5454</v>
      </c>
      <c r="D736" s="119"/>
      <c r="E736" s="119" t="s">
        <v>1497</v>
      </c>
      <c r="F736" s="59"/>
      <c r="G736" s="1"/>
      <c r="J736" s="13"/>
    </row>
    <row r="737" spans="1:10" ht="80.25" customHeight="1">
      <c r="A737" s="36" t="s">
        <v>227</v>
      </c>
      <c r="B737" s="11" t="s">
        <v>228</v>
      </c>
      <c r="C737" s="12">
        <v>5969</v>
      </c>
      <c r="D737" s="126"/>
      <c r="E737" s="120" t="s">
        <v>1497</v>
      </c>
      <c r="F737" s="59"/>
      <c r="G737" s="1"/>
      <c r="J737" s="13"/>
    </row>
    <row r="738" spans="1:10" ht="80.25" customHeight="1">
      <c r="A738" s="36" t="s">
        <v>225</v>
      </c>
      <c r="B738" s="11" t="s">
        <v>226</v>
      </c>
      <c r="C738" s="12">
        <v>5969</v>
      </c>
      <c r="D738" s="127"/>
      <c r="E738" s="120" t="s">
        <v>1497</v>
      </c>
      <c r="F738" s="59"/>
      <c r="G738" s="1"/>
      <c r="J738" s="13"/>
    </row>
    <row r="739" spans="1:10" ht="80.25" customHeight="1">
      <c r="A739" s="79" t="s">
        <v>281</v>
      </c>
      <c r="B739" s="11" t="s">
        <v>282</v>
      </c>
      <c r="C739" s="12">
        <v>23253</v>
      </c>
      <c r="D739" s="92"/>
      <c r="E739" s="92" t="s">
        <v>1497</v>
      </c>
      <c r="F739" s="59"/>
      <c r="G739" s="1"/>
      <c r="J739" s="13"/>
    </row>
    <row r="740" spans="1:10" ht="80.25" customHeight="1">
      <c r="A740" s="33" t="s">
        <v>216</v>
      </c>
      <c r="B740" s="11" t="s">
        <v>217</v>
      </c>
      <c r="C740" s="12">
        <v>123595</v>
      </c>
      <c r="D740" s="96"/>
      <c r="E740" s="96" t="s">
        <v>1497</v>
      </c>
      <c r="F740" s="59"/>
      <c r="G740" s="1"/>
      <c r="J740" s="13"/>
    </row>
    <row r="741" spans="1:10" ht="80.25" customHeight="1">
      <c r="A741" s="33" t="s">
        <v>1634</v>
      </c>
      <c r="B741" s="11" t="s">
        <v>219</v>
      </c>
      <c r="C741" s="12">
        <v>197755</v>
      </c>
      <c r="D741" s="96"/>
      <c r="E741" s="96" t="s">
        <v>1497</v>
      </c>
      <c r="F741" s="59"/>
      <c r="G741" s="1"/>
      <c r="J741" s="13"/>
    </row>
    <row r="742" spans="1:10" ht="80.25" customHeight="1">
      <c r="A742" s="33" t="s">
        <v>1635</v>
      </c>
      <c r="B742" s="11" t="s">
        <v>218</v>
      </c>
      <c r="C742" s="12">
        <v>159645</v>
      </c>
      <c r="D742" s="96"/>
      <c r="E742" s="96" t="s">
        <v>1497</v>
      </c>
      <c r="F742" s="59"/>
      <c r="G742" s="1"/>
      <c r="J742" s="13"/>
    </row>
    <row r="743" spans="1:10" ht="80.25" customHeight="1">
      <c r="A743" s="79" t="s">
        <v>221</v>
      </c>
      <c r="B743" s="11" t="s">
        <v>222</v>
      </c>
      <c r="C743" s="12">
        <v>36049</v>
      </c>
      <c r="D743" s="96"/>
      <c r="E743" s="96" t="s">
        <v>1497</v>
      </c>
      <c r="F743" s="59"/>
      <c r="G743" s="1"/>
      <c r="J743" s="13"/>
    </row>
    <row r="744" spans="1:10" ht="80.25" customHeight="1">
      <c r="A744" s="79" t="s">
        <v>1640</v>
      </c>
      <c r="B744" s="11" t="s">
        <v>220</v>
      </c>
      <c r="C744" s="12">
        <v>78280</v>
      </c>
      <c r="D744" s="96"/>
      <c r="E744" s="96" t="s">
        <v>1497</v>
      </c>
      <c r="F744" s="59"/>
      <c r="G744" s="1"/>
      <c r="J744" s="13"/>
    </row>
    <row r="745" spans="1:10" ht="80.25" customHeight="1">
      <c r="A745" s="39" t="s">
        <v>277</v>
      </c>
      <c r="B745" s="41" t="s">
        <v>278</v>
      </c>
      <c r="C745" s="12">
        <v>8000</v>
      </c>
      <c r="D745" s="96"/>
      <c r="E745" s="96" t="s">
        <v>1497</v>
      </c>
      <c r="F745" s="59"/>
      <c r="G745" s="1"/>
      <c r="J745" s="13"/>
    </row>
    <row r="746" spans="1:10" ht="80.25" customHeight="1">
      <c r="A746" s="39" t="s">
        <v>279</v>
      </c>
      <c r="B746" s="41" t="s">
        <v>280</v>
      </c>
      <c r="C746" s="12">
        <v>2000</v>
      </c>
      <c r="D746" s="96"/>
      <c r="E746" s="96" t="s">
        <v>1497</v>
      </c>
      <c r="F746" s="59"/>
      <c r="G746" s="1"/>
      <c r="J746" s="13"/>
    </row>
    <row r="747" spans="1:10" ht="80.25" customHeight="1">
      <c r="A747" s="36" t="s">
        <v>237</v>
      </c>
      <c r="B747" s="11" t="s">
        <v>238</v>
      </c>
      <c r="C747" s="12">
        <v>7210</v>
      </c>
      <c r="D747" s="96"/>
      <c r="E747" s="96" t="s">
        <v>1497</v>
      </c>
      <c r="F747" s="59"/>
      <c r="G747" s="1"/>
      <c r="J747" s="13"/>
    </row>
    <row r="748" spans="1:10" ht="80.25" customHeight="1">
      <c r="A748" s="36" t="s">
        <v>241</v>
      </c>
      <c r="B748" s="11" t="s">
        <v>242</v>
      </c>
      <c r="C748" s="12">
        <v>8338</v>
      </c>
      <c r="D748" s="96"/>
      <c r="E748" s="96" t="s">
        <v>1497</v>
      </c>
      <c r="F748" s="59"/>
      <c r="G748" s="1"/>
      <c r="J748" s="13"/>
    </row>
    <row r="749" spans="1:10" ht="80.25" customHeight="1">
      <c r="A749" s="36" t="s">
        <v>235</v>
      </c>
      <c r="B749" s="11" t="s">
        <v>236</v>
      </c>
      <c r="C749" s="12">
        <v>9167</v>
      </c>
      <c r="D749" s="96"/>
      <c r="E749" s="96" t="s">
        <v>1497</v>
      </c>
      <c r="F749" s="59"/>
      <c r="G749" s="1"/>
      <c r="J749" s="13"/>
    </row>
    <row r="750" spans="1:10" ht="80.25" customHeight="1">
      <c r="A750" s="36" t="s">
        <v>239</v>
      </c>
      <c r="B750" s="11" t="s">
        <v>240</v>
      </c>
      <c r="C750" s="12">
        <v>10295</v>
      </c>
      <c r="D750" s="96"/>
      <c r="E750" s="96" t="s">
        <v>1497</v>
      </c>
      <c r="F750" s="59"/>
      <c r="G750" s="1"/>
      <c r="J750" s="13"/>
    </row>
    <row r="751" spans="1:10" ht="80.25" customHeight="1">
      <c r="A751" s="39" t="s">
        <v>269</v>
      </c>
      <c r="B751" s="41" t="s">
        <v>270</v>
      </c>
      <c r="C751" s="12">
        <v>600</v>
      </c>
      <c r="D751" s="96"/>
      <c r="E751" s="96" t="s">
        <v>1497</v>
      </c>
      <c r="F751" s="59"/>
      <c r="G751" s="1"/>
      <c r="J751" s="13"/>
    </row>
    <row r="752" spans="1:10" ht="80.25" customHeight="1">
      <c r="A752" s="39" t="s">
        <v>271</v>
      </c>
      <c r="B752" s="41" t="s">
        <v>272</v>
      </c>
      <c r="C752" s="12">
        <v>200</v>
      </c>
      <c r="D752" s="96"/>
      <c r="E752" s="96" t="s">
        <v>1497</v>
      </c>
      <c r="F752" s="59"/>
      <c r="G752" s="1"/>
      <c r="J752" s="13"/>
    </row>
    <row r="753" spans="1:10" ht="80.25" customHeight="1">
      <c r="A753" s="39" t="s">
        <v>273</v>
      </c>
      <c r="B753" s="41" t="s">
        <v>274</v>
      </c>
      <c r="C753" s="12">
        <v>3400</v>
      </c>
      <c r="D753" s="96"/>
      <c r="E753" s="96" t="s">
        <v>1497</v>
      </c>
      <c r="F753" s="59"/>
      <c r="G753" s="1"/>
      <c r="J753" s="13"/>
    </row>
    <row r="754" spans="1:10" ht="80.25" customHeight="1">
      <c r="A754" s="39" t="s">
        <v>275</v>
      </c>
      <c r="B754" s="41" t="s">
        <v>276</v>
      </c>
      <c r="C754" s="12">
        <v>550</v>
      </c>
      <c r="D754" s="96"/>
      <c r="E754" s="96" t="s">
        <v>1497</v>
      </c>
      <c r="F754" s="59"/>
      <c r="G754" s="1"/>
      <c r="J754" s="13"/>
    </row>
    <row r="755" spans="1:10" ht="80.25" customHeight="1">
      <c r="A755" s="39" t="s">
        <v>243</v>
      </c>
      <c r="B755" s="11" t="s">
        <v>244</v>
      </c>
      <c r="C755" s="12">
        <v>2019</v>
      </c>
      <c r="D755" s="96"/>
      <c r="E755" s="96" t="s">
        <v>1497</v>
      </c>
      <c r="F755" s="59"/>
      <c r="G755" s="1"/>
      <c r="J755" s="13"/>
    </row>
    <row r="756" spans="1:10" ht="80.25" customHeight="1">
      <c r="A756" s="39" t="s">
        <v>245</v>
      </c>
      <c r="B756" s="11" t="s">
        <v>246</v>
      </c>
      <c r="C756" s="12">
        <v>284</v>
      </c>
      <c r="D756" s="96"/>
      <c r="E756" s="96" t="s">
        <v>1497</v>
      </c>
      <c r="F756" s="59"/>
      <c r="G756" s="1"/>
      <c r="J756" s="13"/>
    </row>
    <row r="757" spans="1:10" ht="80.25" customHeight="1">
      <c r="A757" s="39" t="s">
        <v>249</v>
      </c>
      <c r="B757" s="11" t="s">
        <v>250</v>
      </c>
      <c r="C757" s="12">
        <v>2627</v>
      </c>
      <c r="D757" s="96"/>
      <c r="E757" s="96" t="s">
        <v>1497</v>
      </c>
      <c r="F757" s="59"/>
      <c r="G757" s="1"/>
      <c r="J757" s="13"/>
    </row>
    <row r="758" spans="1:10" ht="80.25" customHeight="1">
      <c r="A758" s="39" t="s">
        <v>251</v>
      </c>
      <c r="B758" s="11" t="s">
        <v>252</v>
      </c>
      <c r="C758" s="12">
        <v>4404</v>
      </c>
      <c r="D758" s="96"/>
      <c r="E758" s="96" t="s">
        <v>1497</v>
      </c>
      <c r="F758" s="59"/>
      <c r="G758" s="1"/>
      <c r="J758" s="13"/>
    </row>
    <row r="759" spans="1:10" ht="80.25" customHeight="1">
      <c r="A759" s="39" t="s">
        <v>247</v>
      </c>
      <c r="B759" s="11" t="s">
        <v>248</v>
      </c>
      <c r="C759" s="12">
        <v>1412</v>
      </c>
      <c r="D759" s="96"/>
      <c r="E759" s="96" t="s">
        <v>1497</v>
      </c>
      <c r="F759" s="59"/>
      <c r="G759" s="1"/>
      <c r="J759" s="13"/>
    </row>
    <row r="760" spans="1:10" ht="80.25" customHeight="1">
      <c r="A760" s="39" t="s">
        <v>267</v>
      </c>
      <c r="B760" s="41" t="s">
        <v>268</v>
      </c>
      <c r="C760" s="12">
        <v>1990</v>
      </c>
      <c r="D760" s="96"/>
      <c r="E760" s="96" t="s">
        <v>1497</v>
      </c>
      <c r="F760" s="59"/>
      <c r="G760" s="1"/>
      <c r="J760" s="13"/>
    </row>
    <row r="761" spans="1:10" ht="80.25" customHeight="1">
      <c r="A761" s="39" t="s">
        <v>265</v>
      </c>
      <c r="B761" s="11" t="s">
        <v>266</v>
      </c>
      <c r="C761" s="12">
        <v>2014</v>
      </c>
      <c r="D761" s="96"/>
      <c r="E761" s="96" t="s">
        <v>1497</v>
      </c>
      <c r="F761" s="59"/>
      <c r="G761" s="1"/>
      <c r="J761" s="13"/>
    </row>
    <row r="762" spans="1:10" ht="80.25" customHeight="1">
      <c r="A762" s="39" t="s">
        <v>253</v>
      </c>
      <c r="B762" s="11" t="s">
        <v>254</v>
      </c>
      <c r="C762" s="12">
        <v>2632</v>
      </c>
      <c r="D762" s="96"/>
      <c r="E762" s="96" t="s">
        <v>1497</v>
      </c>
      <c r="F762" s="59"/>
      <c r="G762" s="1"/>
      <c r="J762" s="13"/>
    </row>
    <row r="763" spans="1:10" ht="80.25" customHeight="1">
      <c r="A763" s="39" t="s">
        <v>255</v>
      </c>
      <c r="B763" s="11" t="s">
        <v>256</v>
      </c>
      <c r="C763" s="12">
        <v>1751</v>
      </c>
      <c r="D763" s="96"/>
      <c r="E763" s="96" t="s">
        <v>1497</v>
      </c>
      <c r="F763" s="59"/>
      <c r="G763" s="1"/>
      <c r="J763" s="13"/>
    </row>
    <row r="764" spans="1:10" ht="80.25" customHeight="1">
      <c r="A764" s="39" t="s">
        <v>257</v>
      </c>
      <c r="B764" s="11" t="s">
        <v>258</v>
      </c>
      <c r="C764" s="12">
        <v>284</v>
      </c>
      <c r="D764" s="96"/>
      <c r="E764" s="96" t="s">
        <v>1497</v>
      </c>
      <c r="F764" s="59"/>
      <c r="G764" s="1"/>
      <c r="J764" s="13"/>
    </row>
    <row r="765" spans="1:10" ht="80.25" customHeight="1">
      <c r="A765" s="39" t="s">
        <v>261</v>
      </c>
      <c r="B765" s="11" t="s">
        <v>262</v>
      </c>
      <c r="C765" s="12">
        <v>2627</v>
      </c>
      <c r="D765" s="96"/>
      <c r="E765" s="96" t="s">
        <v>1497</v>
      </c>
      <c r="F765" s="59"/>
      <c r="G765" s="1"/>
      <c r="J765" s="13"/>
    </row>
    <row r="766" spans="1:10" ht="80.25" customHeight="1">
      <c r="A766" s="39" t="s">
        <v>263</v>
      </c>
      <c r="B766" s="11" t="s">
        <v>264</v>
      </c>
      <c r="C766" s="12">
        <v>4404</v>
      </c>
      <c r="D766" s="96"/>
      <c r="E766" s="96" t="s">
        <v>1497</v>
      </c>
      <c r="F766" s="59"/>
      <c r="G766" s="1"/>
      <c r="J766" s="13"/>
    </row>
    <row r="767" spans="1:10" ht="80.25" customHeight="1">
      <c r="A767" s="39" t="s">
        <v>259</v>
      </c>
      <c r="B767" s="11" t="s">
        <v>260</v>
      </c>
      <c r="C767" s="12">
        <v>1412</v>
      </c>
      <c r="D767" s="96"/>
      <c r="E767" s="96" t="s">
        <v>1497</v>
      </c>
      <c r="F767" s="59"/>
      <c r="G767" s="1"/>
      <c r="J767" s="13"/>
    </row>
    <row r="768" spans="1:10" ht="80.25" customHeight="1">
      <c r="A768" s="36" t="s">
        <v>223</v>
      </c>
      <c r="B768" s="11" t="s">
        <v>224</v>
      </c>
      <c r="C768" s="12">
        <v>5969</v>
      </c>
      <c r="D768" s="96"/>
      <c r="E768" s="96" t="s">
        <v>1497</v>
      </c>
      <c r="F768" s="59"/>
      <c r="G768" s="1"/>
      <c r="J768" s="13"/>
    </row>
    <row r="769" spans="4:10" ht="20.25" customHeight="1">
      <c r="D769" s="1"/>
      <c r="F769" s="14"/>
      <c r="G769" s="1"/>
      <c r="J769" s="13"/>
    </row>
    <row r="770" spans="4:10" ht="20.25" customHeight="1">
      <c r="D770" s="1"/>
      <c r="F770" s="14"/>
      <c r="G770" s="1"/>
      <c r="J770" s="13"/>
    </row>
    <row r="771" spans="4:10" ht="20.25" customHeight="1">
      <c r="D771" s="1"/>
      <c r="F771" s="14"/>
      <c r="G771" s="1"/>
      <c r="J771" s="13"/>
    </row>
    <row r="772" spans="4:10" ht="20.25" customHeight="1">
      <c r="D772" s="1"/>
      <c r="F772" s="14"/>
      <c r="G772" s="1"/>
      <c r="J772" s="13"/>
    </row>
    <row r="773" spans="4:10" ht="20.25" customHeight="1">
      <c r="J773" s="13"/>
    </row>
    <row r="774" spans="4:10" ht="20.25" customHeight="1">
      <c r="J774" s="13"/>
    </row>
    <row r="775" spans="4:10" ht="20.25" customHeight="1">
      <c r="J775" s="13"/>
    </row>
    <row r="776" spans="4:10" ht="20.25" customHeight="1">
      <c r="J776" s="13"/>
    </row>
    <row r="777" spans="4:10" ht="20.25" customHeight="1">
      <c r="J777" s="13"/>
    </row>
    <row r="778" spans="4:10" ht="20.25" customHeight="1">
      <c r="J778" s="13"/>
    </row>
    <row r="779" spans="4:10" ht="20.25" customHeight="1">
      <c r="J779" s="13"/>
    </row>
    <row r="780" spans="4:10" ht="20.25" customHeight="1">
      <c r="J780" s="13"/>
    </row>
    <row r="781" spans="4:10" ht="20.25" customHeight="1">
      <c r="J781" s="13"/>
    </row>
    <row r="782" spans="4:10" ht="20.25" customHeight="1">
      <c r="J782" s="13"/>
    </row>
    <row r="783" spans="4:10" ht="20.25" customHeight="1">
      <c r="J783" s="13"/>
    </row>
    <row r="784" spans="4:10" ht="20.25" customHeight="1">
      <c r="J784" s="13"/>
    </row>
    <row r="785" spans="10:10" ht="20.25" customHeight="1">
      <c r="J785" s="13"/>
    </row>
    <row r="786" spans="10:10" ht="20.25" customHeight="1">
      <c r="J786" s="13"/>
    </row>
    <row r="787" spans="10:10" ht="20.25" customHeight="1">
      <c r="J787" s="13"/>
    </row>
    <row r="788" spans="10:10" ht="20.25" customHeight="1">
      <c r="J788" s="13"/>
    </row>
    <row r="789" spans="10:10" ht="20.25" customHeight="1">
      <c r="J789" s="13"/>
    </row>
    <row r="790" spans="10:10" ht="20.25" customHeight="1">
      <c r="J790" s="13"/>
    </row>
    <row r="791" spans="10:10" ht="20.25" customHeight="1">
      <c r="J791" s="13"/>
    </row>
    <row r="792" spans="10:10" ht="20.25" customHeight="1">
      <c r="J792" s="13"/>
    </row>
  </sheetData>
  <sortState ref="A3:E768">
    <sortCondition ref="E3:E768"/>
  </sortState>
  <pageMargins left="0.2" right="0.2" top="0.25" bottom="0.2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F530"/>
  <sheetViews>
    <sheetView topLeftCell="E558" zoomScale="70" zoomScaleNormal="70" workbookViewId="0">
      <selection activeCell="S393" sqref="S393:S558"/>
    </sheetView>
  </sheetViews>
  <sheetFormatPr defaultColWidth="25" defaultRowHeight="15"/>
  <cols>
    <col min="1" max="1" width="24.5703125" bestFit="1" customWidth="1"/>
    <col min="2" max="2" width="140.42578125" bestFit="1" customWidth="1"/>
    <col min="3" max="3" width="6.7109375" bestFit="1" customWidth="1"/>
    <col min="5" max="5" width="16.28515625" bestFit="1" customWidth="1"/>
    <col min="7" max="7" width="19.85546875" bestFit="1" customWidth="1"/>
    <col min="9" max="9" width="6.85546875" bestFit="1" customWidth="1"/>
    <col min="10" max="10" width="25" style="163"/>
    <col min="11" max="11" width="11.5703125" bestFit="1" customWidth="1"/>
    <col min="12" max="12" width="25" style="163"/>
    <col min="13" max="13" width="6.42578125" bestFit="1" customWidth="1"/>
    <col min="14" max="14" width="25" style="163"/>
    <col min="15" max="15" width="11.5703125" bestFit="1" customWidth="1"/>
    <col min="16" max="16" width="25" style="163"/>
    <col min="17" max="17" width="23.42578125" bestFit="1" customWidth="1"/>
    <col min="19" max="19" width="19.85546875" bestFit="1" customWidth="1"/>
    <col min="21" max="21" width="10.140625" bestFit="1" customWidth="1"/>
    <col min="22" max="22" width="12" bestFit="1" customWidth="1"/>
    <col min="23" max="23" width="5.42578125" bestFit="1" customWidth="1"/>
    <col min="25" max="25" width="13.7109375" bestFit="1" customWidth="1"/>
    <col min="26" max="26" width="90.7109375" bestFit="1" customWidth="1"/>
    <col min="27" max="27" width="5.42578125" bestFit="1" customWidth="1"/>
    <col min="29" max="29" width="13.7109375" bestFit="1" customWidth="1"/>
    <col min="30" max="30" width="104.7109375" bestFit="1" customWidth="1"/>
    <col min="31" max="31" width="5.42578125" bestFit="1" customWidth="1"/>
    <col min="33" max="33" width="8" bestFit="1" customWidth="1"/>
    <col min="34" max="34" width="104.7109375" bestFit="1" customWidth="1"/>
    <col min="35" max="35" width="5.42578125" bestFit="1" customWidth="1"/>
    <col min="37" max="37" width="10.140625" bestFit="1" customWidth="1"/>
    <col min="38" max="38" width="83.5703125" bestFit="1" customWidth="1"/>
    <col min="39" max="39" width="5.42578125" bestFit="1" customWidth="1"/>
    <col min="41" max="41" width="10.140625" bestFit="1" customWidth="1"/>
    <col min="42" max="42" width="78.7109375" bestFit="1" customWidth="1"/>
    <col min="43" max="43" width="5.42578125" bestFit="1" customWidth="1"/>
    <col min="45" max="45" width="10.140625" bestFit="1" customWidth="1"/>
    <col min="46" max="46" width="83.5703125" bestFit="1" customWidth="1"/>
    <col min="47" max="47" width="5.42578125" bestFit="1" customWidth="1"/>
    <col min="49" max="49" width="10.140625" bestFit="1" customWidth="1"/>
    <col min="50" max="50" width="78.7109375" bestFit="1" customWidth="1"/>
    <col min="51" max="51" width="5.42578125" bestFit="1" customWidth="1"/>
    <col min="53" max="53" width="10.140625" bestFit="1" customWidth="1"/>
    <col min="54" max="54" width="78.7109375" bestFit="1" customWidth="1"/>
    <col min="55" max="55" width="5.42578125" bestFit="1" customWidth="1"/>
    <col min="57" max="57" width="10.140625" bestFit="1" customWidth="1"/>
    <col min="58" max="58" width="83.5703125" bestFit="1" customWidth="1"/>
    <col min="59" max="59" width="5.42578125" bestFit="1" customWidth="1"/>
    <col min="61" max="61" width="6.5703125" bestFit="1" customWidth="1"/>
    <col min="62" max="62" width="43.85546875" bestFit="1" customWidth="1"/>
    <col min="63" max="63" width="5.5703125" bestFit="1" customWidth="1"/>
    <col min="65" max="65" width="6.5703125" bestFit="1" customWidth="1"/>
    <col min="66" max="66" width="43.85546875" bestFit="1" customWidth="1"/>
    <col min="67" max="67" width="5.5703125" bestFit="1" customWidth="1"/>
    <col min="70" max="70" width="6.5703125" bestFit="1" customWidth="1"/>
    <col min="71" max="71" width="43.85546875" bestFit="1" customWidth="1"/>
    <col min="72" max="72" width="5.5703125" bestFit="1" customWidth="1"/>
    <col min="74" max="74" width="10" bestFit="1" customWidth="1"/>
    <col min="75" max="75" width="48.28515625" bestFit="1" customWidth="1"/>
    <col min="76" max="76" width="5.5703125" bestFit="1" customWidth="1"/>
    <col min="78" max="78" width="10" bestFit="1" customWidth="1"/>
    <col min="79" max="79" width="48.28515625" bestFit="1" customWidth="1"/>
    <col min="80" max="80" width="5.5703125" bestFit="1" customWidth="1"/>
    <col min="82" max="82" width="14.42578125" bestFit="1" customWidth="1"/>
    <col min="83" max="83" width="42.42578125" bestFit="1" customWidth="1"/>
    <col min="84" max="84" width="6.7109375" bestFit="1" customWidth="1"/>
    <col min="86" max="86" width="14.42578125" bestFit="1" customWidth="1"/>
    <col min="87" max="87" width="42.42578125" bestFit="1" customWidth="1"/>
    <col min="88" max="88" width="6.7109375" bestFit="1" customWidth="1"/>
    <col min="90" max="90" width="14.42578125" bestFit="1" customWidth="1"/>
    <col min="91" max="91" width="42.42578125" bestFit="1" customWidth="1"/>
    <col min="92" max="92" width="6.7109375" bestFit="1" customWidth="1"/>
    <col min="94" max="94" width="14.42578125" bestFit="1" customWidth="1"/>
    <col min="95" max="95" width="28.5703125" bestFit="1" customWidth="1"/>
    <col min="96" max="96" width="6.7109375" bestFit="1" customWidth="1"/>
    <col min="98" max="98" width="14.42578125" bestFit="1" customWidth="1"/>
    <col min="99" max="99" width="28.5703125" bestFit="1" customWidth="1"/>
    <col min="100" max="100" width="6.7109375" bestFit="1" customWidth="1"/>
    <col min="102" max="102" width="14.42578125" bestFit="1" customWidth="1"/>
    <col min="103" max="103" width="28.5703125" bestFit="1" customWidth="1"/>
    <col min="104" max="104" width="6.7109375" bestFit="1" customWidth="1"/>
    <col min="106" max="106" width="22" bestFit="1" customWidth="1"/>
    <col min="107" max="107" width="84" bestFit="1" customWidth="1"/>
    <col min="108" max="108" width="5.5703125" bestFit="1" customWidth="1"/>
    <col min="110" max="110" width="22" bestFit="1" customWidth="1"/>
    <col min="111" max="111" width="84" bestFit="1" customWidth="1"/>
    <col min="112" max="112" width="5.5703125" bestFit="1" customWidth="1"/>
    <col min="114" max="114" width="22" bestFit="1" customWidth="1"/>
    <col min="115" max="115" width="84" bestFit="1" customWidth="1"/>
    <col min="116" max="116" width="5.5703125" bestFit="1" customWidth="1"/>
    <col min="118" max="118" width="22" bestFit="1" customWidth="1"/>
    <col min="119" max="119" width="84" bestFit="1" customWidth="1"/>
    <col min="120" max="120" width="5.5703125" bestFit="1" customWidth="1"/>
    <col min="122" max="122" width="22" bestFit="1" customWidth="1"/>
    <col min="123" max="123" width="84" bestFit="1" customWidth="1"/>
    <col min="124" max="124" width="5.5703125" bestFit="1" customWidth="1"/>
    <col min="126" max="126" width="24.5703125" bestFit="1" customWidth="1"/>
    <col min="127" max="127" width="113.85546875" bestFit="1" customWidth="1"/>
    <col min="128" max="128" width="5.5703125" bestFit="1" customWidth="1"/>
    <col min="130" max="130" width="24.5703125" bestFit="1" customWidth="1"/>
    <col min="131" max="131" width="113.85546875" bestFit="1" customWidth="1"/>
    <col min="132" max="132" width="5.5703125" bestFit="1" customWidth="1"/>
    <col min="134" max="134" width="24.5703125" bestFit="1" customWidth="1"/>
    <col min="135" max="135" width="113.85546875" bestFit="1" customWidth="1"/>
    <col min="136" max="136" width="5.5703125" bestFit="1" customWidth="1"/>
    <col min="138" max="138" width="24.5703125" bestFit="1" customWidth="1"/>
    <col min="139" max="139" width="113.85546875" bestFit="1" customWidth="1"/>
    <col min="140" max="140" width="5.5703125" bestFit="1" customWidth="1"/>
    <col min="142" max="142" width="24.5703125" bestFit="1" customWidth="1"/>
    <col min="143" max="143" width="113.85546875" bestFit="1" customWidth="1"/>
    <col min="144" max="144" width="5.5703125" bestFit="1" customWidth="1"/>
    <col min="146" max="146" width="24.5703125" bestFit="1" customWidth="1"/>
    <col min="147" max="147" width="113.85546875" bestFit="1" customWidth="1"/>
    <col min="148" max="148" width="5.5703125" bestFit="1" customWidth="1"/>
    <col min="150" max="150" width="22.5703125" bestFit="1" customWidth="1"/>
    <col min="151" max="151" width="140.42578125" bestFit="1" customWidth="1"/>
    <col min="152" max="152" width="5.42578125" bestFit="1" customWidth="1"/>
    <col min="154" max="154" width="22.5703125" bestFit="1" customWidth="1"/>
    <col min="155" max="155" width="140.42578125" bestFit="1" customWidth="1"/>
    <col min="156" max="156" width="5.42578125" bestFit="1" customWidth="1"/>
    <col min="158" max="158" width="22.5703125" bestFit="1" customWidth="1"/>
    <col min="159" max="159" width="140.42578125" bestFit="1" customWidth="1"/>
    <col min="160" max="160" width="5.42578125" bestFit="1" customWidth="1"/>
    <col min="162" max="162" width="22.5703125" bestFit="1" customWidth="1"/>
    <col min="163" max="163" width="140.42578125" bestFit="1" customWidth="1"/>
    <col min="164" max="164" width="5.42578125" bestFit="1" customWidth="1"/>
    <col min="166" max="166" width="22.5703125" bestFit="1" customWidth="1"/>
    <col min="167" max="167" width="140.42578125" bestFit="1" customWidth="1"/>
    <col min="168" max="168" width="5.42578125" bestFit="1" customWidth="1"/>
    <col min="170" max="170" width="22.5703125" bestFit="1" customWidth="1"/>
    <col min="171" max="171" width="140.42578125" bestFit="1" customWidth="1"/>
    <col min="172" max="172" width="5.42578125" bestFit="1" customWidth="1"/>
    <col min="174" max="174" width="22.5703125" bestFit="1" customWidth="1"/>
    <col min="175" max="175" width="140.42578125" bestFit="1" customWidth="1"/>
    <col min="176" max="176" width="5.42578125" bestFit="1" customWidth="1"/>
    <col min="178" max="178" width="22.5703125" bestFit="1" customWidth="1"/>
    <col min="179" max="179" width="140.42578125" bestFit="1" customWidth="1"/>
    <col min="180" max="180" width="5.42578125" bestFit="1" customWidth="1"/>
    <col min="182" max="182" width="22.5703125" bestFit="1" customWidth="1"/>
    <col min="183" max="183" width="140.42578125" bestFit="1" customWidth="1"/>
    <col min="184" max="184" width="5.42578125" bestFit="1" customWidth="1"/>
    <col min="186" max="186" width="22.85546875" bestFit="1" customWidth="1"/>
    <col min="187" max="187" width="140.42578125" bestFit="1" customWidth="1"/>
    <col min="188" max="188" width="5.42578125" bestFit="1" customWidth="1"/>
    <col min="190" max="190" width="22.85546875" bestFit="1" customWidth="1"/>
    <col min="191" max="191" width="140.42578125" bestFit="1" customWidth="1"/>
    <col min="192" max="192" width="5.42578125" bestFit="1" customWidth="1"/>
    <col min="194" max="194" width="22.85546875" bestFit="1" customWidth="1"/>
    <col min="195" max="195" width="140.42578125" bestFit="1" customWidth="1"/>
    <col min="196" max="196" width="5.42578125" bestFit="1" customWidth="1"/>
    <col min="198" max="198" width="22.85546875" bestFit="1" customWidth="1"/>
    <col min="199" max="199" width="140.42578125" bestFit="1" customWidth="1"/>
    <col min="200" max="200" width="5.42578125" bestFit="1" customWidth="1"/>
    <col min="202" max="202" width="22.85546875" bestFit="1" customWidth="1"/>
    <col min="203" max="203" width="140.42578125" bestFit="1" customWidth="1"/>
    <col min="204" max="204" width="5.42578125" bestFit="1" customWidth="1"/>
    <col min="206" max="206" width="22.85546875" bestFit="1" customWidth="1"/>
    <col min="207" max="207" width="140.42578125" bestFit="1" customWidth="1"/>
    <col min="208" max="208" width="5.42578125" bestFit="1" customWidth="1"/>
    <col min="210" max="210" width="22.85546875" bestFit="1" customWidth="1"/>
    <col min="211" max="211" width="140.42578125" bestFit="1" customWidth="1"/>
    <col min="212" max="212" width="5.42578125" bestFit="1" customWidth="1"/>
    <col min="214" max="214" width="22.85546875" bestFit="1" customWidth="1"/>
    <col min="215" max="215" width="140.42578125" bestFit="1" customWidth="1"/>
    <col min="216" max="216" width="5.42578125" bestFit="1" customWidth="1"/>
    <col min="218" max="218" width="22.85546875" bestFit="1" customWidth="1"/>
    <col min="219" max="219" width="140.42578125" bestFit="1" customWidth="1"/>
    <col min="220" max="220" width="5.42578125" bestFit="1" customWidth="1"/>
    <col min="222" max="222" width="22.85546875" bestFit="1" customWidth="1"/>
    <col min="223" max="223" width="140.42578125" bestFit="1" customWidth="1"/>
    <col min="224" max="224" width="5.42578125" bestFit="1" customWidth="1"/>
    <col min="226" max="226" width="9.5703125" bestFit="1" customWidth="1"/>
    <col min="227" max="227" width="137" bestFit="1" customWidth="1"/>
    <col min="228" max="228" width="5.5703125" bestFit="1" customWidth="1"/>
    <col min="230" max="230" width="9.5703125" bestFit="1" customWidth="1"/>
    <col min="231" max="231" width="137" bestFit="1" customWidth="1"/>
    <col min="232" max="232" width="5.5703125" bestFit="1" customWidth="1"/>
    <col min="234" max="234" width="7.28515625" bestFit="1" customWidth="1"/>
    <col min="235" max="235" width="55.140625" bestFit="1" customWidth="1"/>
    <col min="236" max="236" width="5.42578125" bestFit="1" customWidth="1"/>
    <col min="238" max="238" width="7.28515625" bestFit="1" customWidth="1"/>
    <col min="239" max="239" width="66.7109375" bestFit="1" customWidth="1"/>
    <col min="240" max="240" width="5.42578125" bestFit="1" customWidth="1"/>
    <col min="242" max="242" width="7.28515625" bestFit="1" customWidth="1"/>
    <col min="243" max="243" width="55.140625" bestFit="1" customWidth="1"/>
    <col min="244" max="244" width="5.42578125" bestFit="1" customWidth="1"/>
    <col min="246" max="246" width="7.28515625" bestFit="1" customWidth="1"/>
    <col min="247" max="247" width="95.28515625" bestFit="1" customWidth="1"/>
    <col min="248" max="248" width="5.5703125" bestFit="1" customWidth="1"/>
    <col min="250" max="250" width="8.42578125" bestFit="1" customWidth="1"/>
    <col min="251" max="251" width="95.28515625" bestFit="1" customWidth="1"/>
    <col min="252" max="252" width="5.5703125" bestFit="1" customWidth="1"/>
    <col min="254" max="254" width="7.28515625" bestFit="1" customWidth="1"/>
    <col min="255" max="255" width="95.28515625" bestFit="1" customWidth="1"/>
    <col min="256" max="256" width="5.5703125" bestFit="1" customWidth="1"/>
    <col min="258" max="258" width="8.42578125" bestFit="1" customWidth="1"/>
    <col min="259" max="259" width="95.28515625" bestFit="1" customWidth="1"/>
    <col min="260" max="260" width="5.5703125" bestFit="1" customWidth="1"/>
    <col min="262" max="262" width="7.28515625" bestFit="1" customWidth="1"/>
    <col min="263" max="263" width="95.28515625" bestFit="1" customWidth="1"/>
    <col min="264" max="264" width="5.5703125" bestFit="1" customWidth="1"/>
    <col min="266" max="266" width="8.42578125" bestFit="1" customWidth="1"/>
    <col min="267" max="267" width="95.28515625" bestFit="1" customWidth="1"/>
    <col min="268" max="268" width="5.5703125" bestFit="1" customWidth="1"/>
    <col min="270" max="270" width="7.28515625" bestFit="1" customWidth="1"/>
    <col min="271" max="271" width="95.28515625" bestFit="1" customWidth="1"/>
    <col min="272" max="272" width="5.5703125" bestFit="1" customWidth="1"/>
    <col min="274" max="274" width="8.42578125" bestFit="1" customWidth="1"/>
    <col min="275" max="275" width="95.28515625" bestFit="1" customWidth="1"/>
    <col min="276" max="276" width="5.5703125" bestFit="1" customWidth="1"/>
    <col min="278" max="278" width="9.5703125" bestFit="1" customWidth="1"/>
    <col min="279" max="279" width="89" bestFit="1" customWidth="1"/>
    <col min="280" max="280" width="5.5703125" bestFit="1" customWidth="1"/>
    <col min="282" max="282" width="9.5703125" bestFit="1" customWidth="1"/>
    <col min="283" max="283" width="80.7109375" bestFit="1" customWidth="1"/>
    <col min="284" max="284" width="5.5703125" bestFit="1" customWidth="1"/>
    <col min="286" max="286" width="9.5703125" bestFit="1" customWidth="1"/>
    <col min="287" max="287" width="83.28515625" bestFit="1" customWidth="1"/>
    <col min="288" max="288" width="5.5703125" bestFit="1" customWidth="1"/>
    <col min="290" max="290" width="9.5703125" bestFit="1" customWidth="1"/>
    <col min="291" max="291" width="81" bestFit="1" customWidth="1"/>
    <col min="292" max="292" width="5.5703125" bestFit="1" customWidth="1"/>
    <col min="294" max="294" width="9.5703125" bestFit="1" customWidth="1"/>
    <col min="295" max="295" width="81.85546875" bestFit="1" customWidth="1"/>
    <col min="296" max="296" width="5.5703125" bestFit="1" customWidth="1"/>
    <col min="298" max="298" width="9.140625" bestFit="1" customWidth="1"/>
    <col min="299" max="299" width="103.5703125" bestFit="1" customWidth="1"/>
    <col min="300" max="300" width="5.5703125" bestFit="1" customWidth="1"/>
    <col min="302" max="302" width="7.28515625" bestFit="1" customWidth="1"/>
    <col min="303" max="303" width="95.42578125" bestFit="1" customWidth="1"/>
    <col min="304" max="304" width="5.5703125" bestFit="1" customWidth="1"/>
    <col min="306" max="306" width="7.28515625" bestFit="1" customWidth="1"/>
    <col min="307" max="307" width="95.42578125" bestFit="1" customWidth="1"/>
    <col min="308" max="308" width="5.5703125" bestFit="1" customWidth="1"/>
    <col min="310" max="310" width="7.28515625" bestFit="1" customWidth="1"/>
    <col min="311" max="311" width="84.140625" bestFit="1" customWidth="1"/>
    <col min="312" max="312" width="5.42578125" bestFit="1" customWidth="1"/>
    <col min="314" max="314" width="7.28515625" bestFit="1" customWidth="1"/>
    <col min="315" max="315" width="74.140625" bestFit="1" customWidth="1"/>
    <col min="316" max="316" width="5.5703125" bestFit="1" customWidth="1"/>
    <col min="318" max="318" width="7.28515625" bestFit="1" customWidth="1"/>
    <col min="319" max="319" width="71.7109375" bestFit="1" customWidth="1"/>
    <col min="320" max="320" width="5.42578125" bestFit="1" customWidth="1"/>
    <col min="322" max="322" width="7.28515625" bestFit="1" customWidth="1"/>
    <col min="323" max="323" width="59" bestFit="1" customWidth="1"/>
    <col min="324" max="324" width="5.5703125" bestFit="1" customWidth="1"/>
    <col min="326" max="326" width="9.140625" bestFit="1" customWidth="1"/>
    <col min="327" max="327" width="63.42578125" bestFit="1" customWidth="1"/>
    <col min="328" max="328" width="5.5703125" bestFit="1" customWidth="1"/>
    <col min="330" max="330" width="9.5703125" bestFit="1" customWidth="1"/>
    <col min="331" max="331" width="131.140625" bestFit="1" customWidth="1"/>
    <col min="332" max="332" width="5.5703125" bestFit="1" customWidth="1"/>
    <col min="334" max="334" width="7.28515625" bestFit="1" customWidth="1"/>
    <col min="335" max="335" width="40.7109375" bestFit="1" customWidth="1"/>
    <col min="336" max="336" width="5.42578125" bestFit="1" customWidth="1"/>
    <col min="338" max="338" width="7.28515625" bestFit="1" customWidth="1"/>
    <col min="339" max="339" width="61.140625" bestFit="1" customWidth="1"/>
    <col min="340" max="340" width="5.42578125" bestFit="1" customWidth="1"/>
    <col min="342" max="342" width="7.28515625" bestFit="1" customWidth="1"/>
    <col min="343" max="343" width="40.7109375" bestFit="1" customWidth="1"/>
    <col min="344" max="344" width="5.42578125" bestFit="1" customWidth="1"/>
    <col min="346" max="346" width="7.28515625" bestFit="1" customWidth="1"/>
    <col min="347" max="347" width="96" bestFit="1" customWidth="1"/>
    <col min="348" max="348" width="5.5703125" bestFit="1" customWidth="1"/>
    <col min="350" max="350" width="7.28515625" bestFit="1" customWidth="1"/>
    <col min="351" max="351" width="96" bestFit="1" customWidth="1"/>
    <col min="352" max="352" width="5.5703125" bestFit="1" customWidth="1"/>
    <col min="354" max="354" width="8.7109375" bestFit="1" customWidth="1"/>
    <col min="355" max="355" width="89" bestFit="1" customWidth="1"/>
    <col min="356" max="356" width="5.5703125" bestFit="1" customWidth="1"/>
    <col min="358" max="358" width="8.7109375" bestFit="1" customWidth="1"/>
    <col min="359" max="359" width="45.28515625" bestFit="1" customWidth="1"/>
    <col min="360" max="360" width="5.5703125" bestFit="1" customWidth="1"/>
    <col min="362" max="362" width="13" bestFit="1" customWidth="1"/>
    <col min="363" max="363" width="29.42578125" bestFit="1" customWidth="1"/>
    <col min="364" max="364" width="5.5703125" bestFit="1" customWidth="1"/>
    <col min="365" max="367" width="3.42578125" bestFit="1" customWidth="1"/>
    <col min="369" max="369" width="8.28515625" bestFit="1" customWidth="1"/>
    <col min="370" max="370" width="29.42578125" bestFit="1" customWidth="1"/>
    <col min="372" max="372" width="9.5703125" bestFit="1" customWidth="1"/>
    <col min="373" max="373" width="84.7109375" bestFit="1" customWidth="1"/>
    <col min="374" max="374" width="5.5703125" bestFit="1" customWidth="1"/>
    <col min="376" max="376" width="9.5703125" bestFit="1" customWidth="1"/>
    <col min="377" max="377" width="86.28515625" bestFit="1" customWidth="1"/>
    <col min="378" max="378" width="5.5703125" bestFit="1" customWidth="1"/>
    <col min="380" max="380" width="9.5703125" bestFit="1" customWidth="1"/>
    <col min="381" max="381" width="86.7109375" bestFit="1" customWidth="1"/>
    <col min="382" max="382" width="5.5703125" bestFit="1" customWidth="1"/>
    <col min="384" max="384" width="9.5703125" bestFit="1" customWidth="1"/>
    <col min="385" max="385" width="68.85546875" bestFit="1" customWidth="1"/>
    <col min="386" max="386" width="5.5703125" bestFit="1" customWidth="1"/>
    <col min="388" max="388" width="9.5703125" bestFit="1" customWidth="1"/>
    <col min="389" max="389" width="88.42578125" bestFit="1" customWidth="1"/>
    <col min="390" max="390" width="5.5703125" bestFit="1" customWidth="1"/>
    <col min="392" max="392" width="9.5703125" bestFit="1" customWidth="1"/>
    <col min="393" max="393" width="88.42578125" bestFit="1" customWidth="1"/>
    <col min="394" max="394" width="5.5703125" bestFit="1" customWidth="1"/>
    <col min="396" max="396" width="10.140625" bestFit="1" customWidth="1"/>
    <col min="397" max="397" width="89.5703125" bestFit="1" customWidth="1"/>
    <col min="398" max="398" width="5.5703125" bestFit="1" customWidth="1"/>
    <col min="400" max="400" width="9.5703125" bestFit="1" customWidth="1"/>
    <col min="401" max="401" width="87.28515625" bestFit="1" customWidth="1"/>
    <col min="402" max="402" width="5.5703125" bestFit="1" customWidth="1"/>
    <col min="404" max="404" width="9.5703125" bestFit="1" customWidth="1"/>
    <col min="405" max="405" width="101.7109375" bestFit="1" customWidth="1"/>
    <col min="406" max="406" width="5.5703125" bestFit="1" customWidth="1"/>
    <col min="408" max="408" width="9.5703125" bestFit="1" customWidth="1"/>
    <col min="409" max="409" width="101.7109375" bestFit="1" customWidth="1"/>
    <col min="410" max="410" width="5.5703125" bestFit="1" customWidth="1"/>
    <col min="412" max="412" width="7.28515625" bestFit="1" customWidth="1"/>
    <col min="413" max="413" width="74.140625" bestFit="1" customWidth="1"/>
    <col min="414" max="414" width="5.42578125" bestFit="1" customWidth="1"/>
    <col min="416" max="416" width="7.28515625" bestFit="1" customWidth="1"/>
    <col min="417" max="417" width="57" bestFit="1" customWidth="1"/>
    <col min="418" max="418" width="5.42578125" bestFit="1" customWidth="1"/>
    <col min="420" max="420" width="7.28515625" bestFit="1" customWidth="1"/>
    <col min="421" max="421" width="59" bestFit="1" customWidth="1"/>
    <col min="422" max="422" width="5.5703125" bestFit="1" customWidth="1"/>
    <col min="433" max="433" width="61" bestFit="1" customWidth="1"/>
    <col min="441" max="441" width="61" bestFit="1" customWidth="1"/>
    <col min="449" max="449" width="34" bestFit="1" customWidth="1"/>
    <col min="453" max="453" width="91.42578125" bestFit="1" customWidth="1"/>
    <col min="461" max="461" width="61.7109375" bestFit="1" customWidth="1"/>
    <col min="465" max="465" width="45" bestFit="1" customWidth="1"/>
    <col min="469" max="469" width="61" bestFit="1" customWidth="1"/>
    <col min="525" max="525" width="154.28515625" bestFit="1" customWidth="1"/>
    <col min="529" max="529" width="154.28515625" bestFit="1" customWidth="1"/>
    <col min="533" max="533" width="154.28515625" bestFit="1" customWidth="1"/>
    <col min="537" max="537" width="45.85546875" customWidth="1"/>
    <col min="540" max="540" width="17.42578125" bestFit="1" customWidth="1"/>
    <col min="541" max="541" width="81.7109375" bestFit="1" customWidth="1"/>
    <col min="542" max="542" width="6.28515625" bestFit="1" customWidth="1"/>
    <col min="544" max="544" width="17.42578125" bestFit="1" customWidth="1"/>
    <col min="545" max="545" width="81.7109375" bestFit="1" customWidth="1"/>
    <col min="546" max="546" width="6.28515625" bestFit="1" customWidth="1"/>
    <col min="549" max="549" width="81.7109375" bestFit="1" customWidth="1"/>
    <col min="550" max="550" width="6.28515625" bestFit="1" customWidth="1"/>
    <col min="553" max="553" width="81.7109375" bestFit="1" customWidth="1"/>
    <col min="557" max="557" width="53.42578125" bestFit="1" customWidth="1"/>
    <col min="569" max="569" width="164.85546875" bestFit="1" customWidth="1"/>
    <col min="573" max="573" width="164.85546875" bestFit="1" customWidth="1"/>
    <col min="597" max="597" width="59.140625" bestFit="1" customWidth="1"/>
    <col min="605" max="605" width="59.7109375" bestFit="1" customWidth="1"/>
    <col min="637" max="637" width="98.85546875" bestFit="1" customWidth="1"/>
    <col min="641" max="641" width="98.85546875" bestFit="1" customWidth="1"/>
    <col min="645" max="645" width="98.85546875" bestFit="1" customWidth="1"/>
    <col min="649" max="649" width="55.85546875" bestFit="1" customWidth="1"/>
    <col min="657" max="657" width="99.7109375" bestFit="1" customWidth="1"/>
    <col min="699" max="699" width="25.42578125" customWidth="1"/>
    <col min="729" max="729" width="99.7109375" bestFit="1" customWidth="1"/>
  </cols>
  <sheetData>
    <row r="1" spans="1:734">
      <c r="A1" s="171" t="s">
        <v>1594</v>
      </c>
      <c r="B1" s="171"/>
      <c r="C1" s="171"/>
      <c r="E1" t="s">
        <v>1502</v>
      </c>
      <c r="G1" t="s">
        <v>1501</v>
      </c>
      <c r="I1" t="s">
        <v>1503</v>
      </c>
      <c r="K1" t="s">
        <v>1504</v>
      </c>
      <c r="M1" t="s">
        <v>1505</v>
      </c>
      <c r="O1" t="s">
        <v>1506</v>
      </c>
      <c r="Q1" t="s">
        <v>1497</v>
      </c>
      <c r="S1" t="s">
        <v>1507</v>
      </c>
      <c r="U1" s="593" t="s">
        <v>16</v>
      </c>
      <c r="V1" s="594"/>
      <c r="W1" s="594"/>
      <c r="X1" s="178"/>
      <c r="Y1" s="595" t="s">
        <v>20</v>
      </c>
      <c r="Z1" s="592"/>
      <c r="AA1" s="592"/>
      <c r="AB1" s="179"/>
      <c r="AC1" s="592" t="s">
        <v>22</v>
      </c>
      <c r="AD1" s="592"/>
      <c r="AE1" s="592"/>
      <c r="AF1" s="179"/>
      <c r="AG1" s="592" t="s">
        <v>1616</v>
      </c>
      <c r="AH1" s="592"/>
      <c r="AI1" s="592"/>
      <c r="AJ1" s="179"/>
      <c r="AK1" s="592" t="s">
        <v>1621</v>
      </c>
      <c r="AL1" s="592"/>
      <c r="AM1" s="592"/>
      <c r="AN1" s="180"/>
      <c r="AO1" s="592" t="s">
        <v>1618</v>
      </c>
      <c r="AP1" s="592"/>
      <c r="AQ1" s="592"/>
      <c r="AR1" s="179"/>
      <c r="AS1" s="592" t="s">
        <v>1629</v>
      </c>
      <c r="AT1" s="592"/>
      <c r="AU1" s="592"/>
      <c r="AV1" s="179"/>
      <c r="AW1" s="592" t="s">
        <v>1617</v>
      </c>
      <c r="AX1" s="592"/>
      <c r="AY1" s="592"/>
      <c r="AZ1" s="179"/>
      <c r="BA1" s="592" t="s">
        <v>1620</v>
      </c>
      <c r="BB1" s="592"/>
      <c r="BC1" s="592"/>
      <c r="BD1" s="179"/>
      <c r="BE1" s="592" t="s">
        <v>1619</v>
      </c>
      <c r="BF1" s="592"/>
      <c r="BG1" s="592"/>
      <c r="BH1" s="179"/>
      <c r="BI1" s="592" t="s">
        <v>1632</v>
      </c>
      <c r="BJ1" s="592"/>
      <c r="BK1" s="592"/>
      <c r="BL1" s="179"/>
      <c r="BM1" s="592" t="s">
        <v>1636</v>
      </c>
      <c r="BN1" s="592"/>
      <c r="BO1" s="592"/>
      <c r="BP1" s="179"/>
      <c r="BQ1" s="181"/>
      <c r="BR1" s="592" t="s">
        <v>1637</v>
      </c>
      <c r="BS1" s="592"/>
      <c r="BT1" s="592"/>
      <c r="BU1" s="179"/>
      <c r="BV1" s="592" t="s">
        <v>1638</v>
      </c>
      <c r="BW1" s="592"/>
      <c r="BX1" s="592"/>
      <c r="BY1" s="179"/>
      <c r="BZ1" s="592" t="s">
        <v>221</v>
      </c>
      <c r="CA1" s="592"/>
      <c r="CB1" s="592"/>
      <c r="CC1" s="179"/>
      <c r="CD1" s="592" t="s">
        <v>1642</v>
      </c>
      <c r="CE1" s="592"/>
      <c r="CF1" s="592"/>
      <c r="CG1" s="179"/>
      <c r="CH1" s="592" t="s">
        <v>227</v>
      </c>
      <c r="CI1" s="592"/>
      <c r="CJ1" s="592"/>
      <c r="CK1" s="179"/>
      <c r="CL1" s="592" t="s">
        <v>225</v>
      </c>
      <c r="CM1" s="592"/>
      <c r="CN1" s="592"/>
      <c r="CO1" s="179"/>
      <c r="CP1" s="592" t="s">
        <v>233</v>
      </c>
      <c r="CQ1" s="592"/>
      <c r="CR1" s="592"/>
      <c r="CS1" s="179"/>
      <c r="CT1" s="592" t="s">
        <v>231</v>
      </c>
      <c r="CU1" s="592"/>
      <c r="CV1" s="592"/>
      <c r="CW1" s="179"/>
      <c r="CX1" s="592" t="s">
        <v>229</v>
      </c>
      <c r="CY1" s="592"/>
      <c r="CZ1" s="592"/>
      <c r="DA1" s="179"/>
      <c r="DB1" s="592" t="s">
        <v>243</v>
      </c>
      <c r="DC1" s="592"/>
      <c r="DD1" s="592"/>
      <c r="DE1" s="179"/>
      <c r="DF1" s="592" t="s">
        <v>247</v>
      </c>
      <c r="DG1" s="592"/>
      <c r="DH1" s="592"/>
      <c r="DI1" s="179"/>
      <c r="DJ1" s="592" t="s">
        <v>249</v>
      </c>
      <c r="DK1" s="592"/>
      <c r="DL1" s="592"/>
      <c r="DM1" s="179"/>
      <c r="DN1" s="592" t="s">
        <v>1677</v>
      </c>
      <c r="DO1" s="592"/>
      <c r="DP1" s="592"/>
      <c r="DQ1" s="179"/>
      <c r="DR1" s="592" t="s">
        <v>267</v>
      </c>
      <c r="DS1" s="592"/>
      <c r="DT1" s="592"/>
      <c r="DU1" s="179"/>
      <c r="DV1" s="592" t="s">
        <v>253</v>
      </c>
      <c r="DW1" s="592"/>
      <c r="DX1" s="592"/>
      <c r="DY1" s="179"/>
      <c r="DZ1" s="592" t="s">
        <v>255</v>
      </c>
      <c r="EA1" s="592"/>
      <c r="EB1" s="592"/>
      <c r="EC1" s="179"/>
      <c r="ED1" s="592" t="s">
        <v>257</v>
      </c>
      <c r="EE1" s="592"/>
      <c r="EF1" s="592"/>
      <c r="EG1" s="179"/>
      <c r="EH1" s="592" t="s">
        <v>259</v>
      </c>
      <c r="EI1" s="592"/>
      <c r="EJ1" s="592"/>
      <c r="EK1" s="179"/>
      <c r="EL1" s="592" t="s">
        <v>261</v>
      </c>
      <c r="EM1" s="592"/>
      <c r="EN1" s="592"/>
      <c r="EO1" s="179"/>
      <c r="EP1" s="592" t="s">
        <v>263</v>
      </c>
      <c r="EQ1" s="592"/>
      <c r="ER1" s="592"/>
      <c r="ES1" s="179"/>
      <c r="ET1" s="592" t="s">
        <v>196</v>
      </c>
      <c r="EU1" s="592"/>
      <c r="EV1" s="592"/>
      <c r="EW1" s="179"/>
      <c r="EX1" s="592" t="s">
        <v>198</v>
      </c>
      <c r="EY1" s="592"/>
      <c r="EZ1" s="592"/>
      <c r="FA1" s="179"/>
      <c r="FB1" s="592" t="s">
        <v>200</v>
      </c>
      <c r="FC1" s="592"/>
      <c r="FD1" s="592"/>
      <c r="FE1" s="179"/>
      <c r="FF1" s="592" t="s">
        <v>202</v>
      </c>
      <c r="FG1" s="592"/>
      <c r="FH1" s="592"/>
      <c r="FI1" s="179"/>
      <c r="FJ1" s="592" t="s">
        <v>204</v>
      </c>
      <c r="FK1" s="592"/>
      <c r="FL1" s="592"/>
      <c r="FM1" s="179"/>
      <c r="FN1" s="592" t="s">
        <v>206</v>
      </c>
      <c r="FO1" s="592"/>
      <c r="FP1" s="592"/>
      <c r="FQ1" s="179"/>
      <c r="FR1" s="592" t="s">
        <v>208</v>
      </c>
      <c r="FS1" s="592"/>
      <c r="FT1" s="592"/>
      <c r="FU1" s="179"/>
      <c r="FV1" s="592" t="s">
        <v>210</v>
      </c>
      <c r="FW1" s="592"/>
      <c r="FX1" s="592"/>
      <c r="FY1" s="179"/>
      <c r="FZ1" s="592" t="s">
        <v>212</v>
      </c>
      <c r="GA1" s="592"/>
      <c r="GB1" s="592"/>
      <c r="GC1" s="179"/>
      <c r="GD1" s="592" t="s">
        <v>1709</v>
      </c>
      <c r="GE1" s="592"/>
      <c r="GF1" s="592"/>
      <c r="GG1" s="179"/>
      <c r="GH1" s="592" t="s">
        <v>1717</v>
      </c>
      <c r="GI1" s="592"/>
      <c r="GJ1" s="592"/>
      <c r="GK1" s="179"/>
      <c r="GL1" s="592" t="s">
        <v>1718</v>
      </c>
      <c r="GM1" s="592"/>
      <c r="GN1" s="592"/>
      <c r="GO1" s="179"/>
      <c r="GP1" s="592" t="s">
        <v>1719</v>
      </c>
      <c r="GQ1" s="592"/>
      <c r="GR1" s="592"/>
      <c r="GS1" s="179"/>
      <c r="GT1" s="592" t="s">
        <v>1720</v>
      </c>
      <c r="GU1" s="592"/>
      <c r="GV1" s="592"/>
      <c r="GW1" s="179"/>
      <c r="GX1" s="592" t="s">
        <v>189</v>
      </c>
      <c r="GY1" s="592"/>
      <c r="GZ1" s="592"/>
      <c r="HA1" s="179"/>
      <c r="HB1" s="592" t="s">
        <v>191</v>
      </c>
      <c r="HC1" s="592"/>
      <c r="HD1" s="592"/>
      <c r="HE1" s="179"/>
      <c r="HF1" s="592" t="s">
        <v>1721</v>
      </c>
      <c r="HG1" s="592"/>
      <c r="HH1" s="592"/>
      <c r="HI1" s="179"/>
      <c r="HJ1" s="592" t="s">
        <v>1722</v>
      </c>
      <c r="HK1" s="592"/>
      <c r="HL1" s="592"/>
      <c r="HM1" s="179"/>
      <c r="HN1" s="592" t="s">
        <v>1723</v>
      </c>
      <c r="HO1" s="592"/>
      <c r="HP1" s="592"/>
      <c r="HQ1" s="179"/>
      <c r="HR1" s="592" t="s">
        <v>283</v>
      </c>
      <c r="HS1" s="592"/>
      <c r="HT1" s="592"/>
      <c r="HU1" s="179"/>
      <c r="HV1" s="592" t="s">
        <v>285</v>
      </c>
      <c r="HW1" s="592"/>
      <c r="HX1" s="592"/>
      <c r="HY1" s="179"/>
      <c r="HZ1" s="592" t="s">
        <v>287</v>
      </c>
      <c r="IA1" s="592"/>
      <c r="IB1" s="592"/>
      <c r="IC1" s="179"/>
      <c r="ID1" s="592" t="s">
        <v>289</v>
      </c>
      <c r="IE1" s="592"/>
      <c r="IF1" s="592"/>
      <c r="IG1" s="179"/>
      <c r="IH1" s="592" t="s">
        <v>291</v>
      </c>
      <c r="II1" s="592"/>
      <c r="IJ1" s="592"/>
      <c r="IK1" s="179"/>
      <c r="IL1" s="592" t="s">
        <v>293</v>
      </c>
      <c r="IM1" s="592"/>
      <c r="IN1" s="592"/>
      <c r="IO1" s="179"/>
      <c r="IP1" s="592" t="s">
        <v>295</v>
      </c>
      <c r="IQ1" s="592"/>
      <c r="IR1" s="592"/>
      <c r="IS1" s="179"/>
      <c r="IT1" s="592" t="s">
        <v>297</v>
      </c>
      <c r="IU1" s="592"/>
      <c r="IV1" s="592"/>
      <c r="IW1" s="179"/>
      <c r="IX1" s="592" t="s">
        <v>299</v>
      </c>
      <c r="IY1" s="592"/>
      <c r="IZ1" s="592"/>
      <c r="JA1" s="179"/>
      <c r="JB1" s="592" t="s">
        <v>301</v>
      </c>
      <c r="JC1" s="592"/>
      <c r="JD1" s="592"/>
      <c r="JE1" s="179"/>
      <c r="JF1" s="592" t="s">
        <v>303</v>
      </c>
      <c r="JG1" s="592"/>
      <c r="JH1" s="592"/>
      <c r="JI1" s="179"/>
      <c r="JJ1" s="592" t="s">
        <v>305</v>
      </c>
      <c r="JK1" s="592"/>
      <c r="JL1" s="592"/>
      <c r="JM1" s="179"/>
      <c r="JN1" s="592" t="s">
        <v>307</v>
      </c>
      <c r="JO1" s="592"/>
      <c r="JP1" s="592"/>
      <c r="JQ1" s="179"/>
      <c r="JR1" s="592" t="s">
        <v>309</v>
      </c>
      <c r="JS1" s="592"/>
      <c r="JT1" s="592"/>
      <c r="JU1" s="179"/>
      <c r="JV1" s="592" t="s">
        <v>311</v>
      </c>
      <c r="JW1" s="592"/>
      <c r="JX1" s="592"/>
      <c r="JY1" s="179"/>
      <c r="JZ1" s="592" t="s">
        <v>313</v>
      </c>
      <c r="KA1" s="592"/>
      <c r="KB1" s="592"/>
      <c r="KC1" s="179"/>
      <c r="KD1" s="592" t="s">
        <v>315</v>
      </c>
      <c r="KE1" s="592"/>
      <c r="KF1" s="592"/>
      <c r="KG1" s="179"/>
      <c r="KH1" s="592" t="s">
        <v>317</v>
      </c>
      <c r="KI1" s="592"/>
      <c r="KJ1" s="592"/>
      <c r="KK1" s="179"/>
      <c r="KL1" s="592" t="s">
        <v>321</v>
      </c>
      <c r="KM1" s="592"/>
      <c r="KN1" s="592"/>
      <c r="KO1" s="179"/>
      <c r="KP1" s="592" t="s">
        <v>323</v>
      </c>
      <c r="KQ1" s="592"/>
      <c r="KR1" s="592"/>
      <c r="KT1" s="593" t="s">
        <v>325</v>
      </c>
      <c r="KU1" s="594"/>
      <c r="KV1" s="595"/>
      <c r="KX1" s="593" t="s">
        <v>319</v>
      </c>
      <c r="KY1" s="594"/>
      <c r="KZ1" s="595"/>
      <c r="LB1" s="557" t="s">
        <v>327</v>
      </c>
      <c r="LC1" s="557"/>
      <c r="LD1" s="557"/>
      <c r="LF1" s="557" t="s">
        <v>329</v>
      </c>
      <c r="LG1" s="557"/>
      <c r="LH1" s="557"/>
      <c r="LJ1" s="557" t="s">
        <v>331</v>
      </c>
      <c r="LK1" s="557"/>
      <c r="LL1" s="557"/>
      <c r="LN1" s="557" t="s">
        <v>333</v>
      </c>
      <c r="LO1" s="557"/>
      <c r="LP1" s="557"/>
      <c r="LR1" s="557" t="s">
        <v>335</v>
      </c>
      <c r="LS1" s="557"/>
      <c r="LT1" s="557"/>
      <c r="LV1" s="557" t="s">
        <v>339</v>
      </c>
      <c r="LW1" s="557"/>
      <c r="LX1" s="557"/>
      <c r="LZ1" s="557" t="s">
        <v>340</v>
      </c>
      <c r="MA1" s="557"/>
      <c r="MB1" s="557"/>
      <c r="MD1" s="557" t="s">
        <v>341</v>
      </c>
      <c r="ME1" s="557"/>
      <c r="MF1" s="557"/>
      <c r="MH1" s="557" t="s">
        <v>342</v>
      </c>
      <c r="MI1" s="557"/>
      <c r="MJ1" s="557"/>
      <c r="ML1" s="557" t="s">
        <v>344</v>
      </c>
      <c r="MM1" s="557"/>
      <c r="MN1" s="557"/>
      <c r="MP1" s="557" t="s">
        <v>346</v>
      </c>
      <c r="MQ1" s="557"/>
      <c r="MR1" s="557"/>
      <c r="MT1" s="557" t="s">
        <v>348</v>
      </c>
      <c r="MU1" s="557"/>
      <c r="MV1" s="557"/>
      <c r="MX1" s="557" t="s">
        <v>1946</v>
      </c>
      <c r="MY1" s="557"/>
      <c r="MZ1" s="557"/>
      <c r="NA1" s="557"/>
      <c r="NB1" s="557"/>
      <c r="NC1" s="557"/>
      <c r="NE1" t="s">
        <v>1959</v>
      </c>
      <c r="NF1" t="s">
        <v>1960</v>
      </c>
      <c r="NH1" s="557" t="s">
        <v>350</v>
      </c>
      <c r="NI1" s="557"/>
      <c r="NJ1" s="557"/>
      <c r="NL1" s="557" t="s">
        <v>351</v>
      </c>
      <c r="NM1" s="557"/>
      <c r="NN1" s="557"/>
      <c r="NP1" s="557" t="s">
        <v>352</v>
      </c>
      <c r="NQ1" s="557"/>
      <c r="NR1" s="557"/>
      <c r="NT1" s="557" t="s">
        <v>353</v>
      </c>
      <c r="NU1" s="557"/>
      <c r="NV1" s="557"/>
      <c r="NX1" s="557" t="s">
        <v>355</v>
      </c>
      <c r="NY1" s="557"/>
      <c r="NZ1" s="557"/>
      <c r="OA1" s="189"/>
      <c r="OB1" s="557" t="s">
        <v>356</v>
      </c>
      <c r="OC1" s="557"/>
      <c r="OD1" s="557"/>
      <c r="OE1" s="171"/>
      <c r="OF1" s="557" t="s">
        <v>357</v>
      </c>
      <c r="OG1" s="557"/>
      <c r="OH1" s="557"/>
      <c r="OJ1" s="557" t="s">
        <v>359</v>
      </c>
      <c r="OK1" s="557"/>
      <c r="OL1" s="557"/>
      <c r="ON1" s="557" t="s">
        <v>360</v>
      </c>
      <c r="OO1" s="557"/>
      <c r="OP1" s="557"/>
      <c r="OR1" s="557" t="s">
        <v>362</v>
      </c>
      <c r="OS1" s="557"/>
      <c r="OT1" s="557"/>
      <c r="OV1" s="557" t="s">
        <v>364</v>
      </c>
      <c r="OW1" s="557"/>
      <c r="OX1" s="557"/>
      <c r="OZ1" s="557" t="s">
        <v>366</v>
      </c>
      <c r="PA1" s="557"/>
      <c r="PB1" s="557"/>
      <c r="PD1" s="557" t="s">
        <v>367</v>
      </c>
      <c r="PE1" s="557"/>
      <c r="PF1" s="557"/>
      <c r="PH1" s="557" t="s">
        <v>369</v>
      </c>
      <c r="PI1" s="557"/>
      <c r="PJ1" s="557"/>
      <c r="PL1" s="557" t="s">
        <v>381</v>
      </c>
      <c r="PM1" s="557"/>
      <c r="PN1" s="557"/>
      <c r="PP1" s="557" t="s">
        <v>383</v>
      </c>
      <c r="PQ1" s="557"/>
      <c r="PR1" s="557"/>
      <c r="PT1" s="557" t="s">
        <v>2088</v>
      </c>
      <c r="PU1" s="557"/>
      <c r="PV1" s="557"/>
      <c r="PX1" s="557" t="s">
        <v>391</v>
      </c>
      <c r="PY1" s="557"/>
      <c r="PZ1" s="557"/>
      <c r="QB1" s="557" t="s">
        <v>393</v>
      </c>
      <c r="QC1" s="557"/>
      <c r="QD1" s="557"/>
      <c r="QF1" s="557" t="s">
        <v>10</v>
      </c>
      <c r="QG1" s="557"/>
      <c r="QH1" s="557"/>
      <c r="QJ1" s="557" t="s">
        <v>396</v>
      </c>
      <c r="QK1" s="557"/>
      <c r="QL1" s="557"/>
      <c r="QN1" s="557" t="s">
        <v>398</v>
      </c>
      <c r="QO1" s="557"/>
      <c r="QP1" s="557"/>
      <c r="QR1" s="557" t="s">
        <v>400</v>
      </c>
      <c r="QS1" s="557"/>
      <c r="QT1" s="557"/>
      <c r="QV1" s="557" t="s">
        <v>402</v>
      </c>
      <c r="QW1" s="557"/>
      <c r="QX1" s="557"/>
      <c r="QZ1" s="557" t="s">
        <v>404</v>
      </c>
      <c r="RA1" s="557"/>
      <c r="RB1" s="557"/>
      <c r="RD1" s="557" t="s">
        <v>42</v>
      </c>
      <c r="RE1" s="557"/>
      <c r="RF1" s="557"/>
      <c r="RH1" s="557" t="s">
        <v>44</v>
      </c>
      <c r="RI1" s="557"/>
      <c r="RJ1" s="557"/>
      <c r="RL1" s="557" t="s">
        <v>46</v>
      </c>
      <c r="RM1" s="557"/>
      <c r="RN1" s="557"/>
      <c r="RP1" s="557" t="s">
        <v>48</v>
      </c>
      <c r="RQ1" s="557"/>
      <c r="RR1" s="557"/>
      <c r="RT1" s="557" t="s">
        <v>50</v>
      </c>
      <c r="RU1" s="557"/>
      <c r="RV1" s="557"/>
      <c r="RX1" s="557" t="s">
        <v>52</v>
      </c>
      <c r="RY1" s="557"/>
      <c r="RZ1" s="557"/>
      <c r="SB1" s="557" t="s">
        <v>54</v>
      </c>
      <c r="SC1" s="557"/>
      <c r="SD1" s="557"/>
      <c r="SF1" s="557" t="s">
        <v>56</v>
      </c>
      <c r="SG1" s="557"/>
      <c r="SH1" s="557"/>
      <c r="SJ1" s="557" t="s">
        <v>58</v>
      </c>
      <c r="SK1" s="557"/>
      <c r="SL1" s="557"/>
      <c r="SN1" s="557" t="s">
        <v>60</v>
      </c>
      <c r="SO1" s="557"/>
      <c r="SP1" s="557"/>
      <c r="SR1" s="557" t="s">
        <v>62</v>
      </c>
      <c r="SS1" s="557"/>
      <c r="ST1" s="557"/>
      <c r="SV1" s="557" t="s">
        <v>64</v>
      </c>
      <c r="SW1" s="557"/>
      <c r="SX1" s="557"/>
      <c r="SZ1" s="557" t="s">
        <v>66</v>
      </c>
      <c r="TA1" s="557"/>
      <c r="TB1" s="557"/>
      <c r="TD1" s="557" t="s">
        <v>68</v>
      </c>
      <c r="TE1" s="557"/>
      <c r="TF1" s="557"/>
      <c r="TH1" s="557" t="s">
        <v>70</v>
      </c>
      <c r="TI1" s="557"/>
      <c r="TJ1" s="557"/>
      <c r="TL1" s="557" t="s">
        <v>72</v>
      </c>
      <c r="TM1" s="557"/>
      <c r="TN1" s="557"/>
      <c r="TP1" s="557" t="s">
        <v>82</v>
      </c>
      <c r="TQ1" s="557"/>
      <c r="TR1" s="557"/>
      <c r="TT1" s="557" t="s">
        <v>84</v>
      </c>
      <c r="TU1" s="557"/>
      <c r="TV1" s="557"/>
      <c r="TX1" s="557" t="s">
        <v>86</v>
      </c>
      <c r="TY1" s="557"/>
      <c r="TZ1" s="557"/>
      <c r="UB1" s="557" t="s">
        <v>88</v>
      </c>
      <c r="UC1" s="557"/>
      <c r="UD1" s="557"/>
      <c r="UF1" s="557" t="s">
        <v>90</v>
      </c>
      <c r="UG1" s="557"/>
      <c r="UH1" s="557"/>
      <c r="UJ1" s="557" t="s">
        <v>92</v>
      </c>
      <c r="UK1" s="557"/>
      <c r="UL1" s="557"/>
      <c r="UN1" s="557" t="s">
        <v>94</v>
      </c>
      <c r="UO1" s="557"/>
      <c r="UP1" s="557"/>
      <c r="UR1" s="557" t="s">
        <v>96</v>
      </c>
      <c r="US1" s="557"/>
      <c r="UT1" s="557"/>
      <c r="UV1" s="557" t="s">
        <v>98</v>
      </c>
      <c r="UW1" s="557"/>
      <c r="UX1" s="557"/>
      <c r="UZ1" s="557" t="s">
        <v>100</v>
      </c>
      <c r="VA1" s="557"/>
      <c r="VB1" s="557"/>
      <c r="VD1" s="557" t="s">
        <v>189</v>
      </c>
      <c r="VE1" s="557"/>
      <c r="VF1" s="557"/>
      <c r="VH1" s="557" t="s">
        <v>208</v>
      </c>
      <c r="VI1" s="557"/>
      <c r="VJ1" s="557"/>
      <c r="VL1" s="557" t="s">
        <v>102</v>
      </c>
      <c r="VM1" s="557"/>
      <c r="VN1" s="557"/>
      <c r="VP1" s="557" t="s">
        <v>104</v>
      </c>
      <c r="VQ1" s="557"/>
      <c r="VR1" s="557"/>
      <c r="VT1" s="557" t="s">
        <v>106</v>
      </c>
      <c r="VU1" s="557"/>
      <c r="VV1" s="557"/>
      <c r="VX1" s="557" t="s">
        <v>108</v>
      </c>
      <c r="VY1" s="557"/>
      <c r="VZ1" s="557"/>
      <c r="WB1" s="557" t="s">
        <v>110</v>
      </c>
      <c r="WC1" s="557"/>
      <c r="WD1" s="557"/>
      <c r="WF1" s="557" t="s">
        <v>112</v>
      </c>
      <c r="WG1" s="557"/>
      <c r="WH1" s="557"/>
      <c r="WJ1" s="557" t="s">
        <v>114</v>
      </c>
      <c r="WK1" s="557"/>
      <c r="WL1" s="557"/>
      <c r="WN1" s="557" t="s">
        <v>116</v>
      </c>
      <c r="WO1" s="557"/>
      <c r="WP1" s="557"/>
      <c r="WR1" s="557" t="s">
        <v>118</v>
      </c>
      <c r="WS1" s="557"/>
      <c r="WT1" s="557"/>
      <c r="WV1" s="557" t="s">
        <v>120</v>
      </c>
      <c r="WW1" s="557"/>
      <c r="WX1" s="557"/>
      <c r="WZ1" s="557" t="s">
        <v>122</v>
      </c>
      <c r="XA1" s="557"/>
      <c r="XB1" s="557"/>
      <c r="XD1" s="557" t="s">
        <v>124</v>
      </c>
      <c r="XE1" s="557"/>
      <c r="XF1" s="557"/>
      <c r="XH1" s="557" t="s">
        <v>126</v>
      </c>
      <c r="XI1" s="557"/>
      <c r="XJ1" s="557"/>
      <c r="XL1" s="557" t="s">
        <v>128</v>
      </c>
      <c r="XM1" s="557"/>
      <c r="XN1" s="557"/>
      <c r="XP1" s="557" t="s">
        <v>130</v>
      </c>
      <c r="XQ1" s="557"/>
      <c r="XR1" s="557"/>
      <c r="XT1" s="557" t="s">
        <v>132</v>
      </c>
      <c r="XU1" s="557"/>
      <c r="XV1" s="557"/>
      <c r="XX1" s="557" t="s">
        <v>134</v>
      </c>
      <c r="XY1" s="557"/>
      <c r="XZ1" s="557"/>
      <c r="YB1" s="557" t="s">
        <v>136</v>
      </c>
      <c r="YC1" s="557"/>
      <c r="YD1" s="557"/>
      <c r="YF1" s="557" t="s">
        <v>138</v>
      </c>
      <c r="YG1" s="557"/>
      <c r="YH1" s="557"/>
      <c r="YJ1" s="557" t="s">
        <v>140</v>
      </c>
      <c r="YK1" s="557"/>
      <c r="YL1" s="557"/>
      <c r="YN1" s="557" t="s">
        <v>142</v>
      </c>
      <c r="YO1" s="557"/>
      <c r="YP1" s="557"/>
      <c r="YR1" s="557" t="s">
        <v>144</v>
      </c>
      <c r="YS1" s="557"/>
      <c r="YT1" s="557"/>
      <c r="YV1" s="557" t="s">
        <v>146</v>
      </c>
      <c r="YW1" s="557"/>
      <c r="YX1" s="557"/>
      <c r="YZ1" s="557" t="s">
        <v>148</v>
      </c>
      <c r="ZA1" s="557"/>
      <c r="ZB1" s="557"/>
      <c r="ZD1" s="557" t="s">
        <v>150</v>
      </c>
      <c r="ZE1" s="557"/>
      <c r="ZF1" s="557"/>
      <c r="ZH1" s="557" t="s">
        <v>152</v>
      </c>
      <c r="ZI1" s="557"/>
      <c r="ZJ1" s="557"/>
      <c r="ZL1" s="557" t="s">
        <v>154</v>
      </c>
      <c r="ZM1" s="557"/>
      <c r="ZN1" s="557"/>
      <c r="ZP1" s="557" t="s">
        <v>156</v>
      </c>
      <c r="ZQ1" s="557"/>
      <c r="ZR1" s="557"/>
      <c r="ZT1" s="557" t="s">
        <v>158</v>
      </c>
      <c r="ZU1" s="557"/>
      <c r="ZV1" s="557"/>
      <c r="ZX1" s="557" t="s">
        <v>160</v>
      </c>
      <c r="ZY1" s="557"/>
      <c r="ZZ1" s="557"/>
      <c r="AAB1" s="557" t="s">
        <v>162</v>
      </c>
      <c r="AAC1" s="557"/>
      <c r="AAD1" s="557"/>
      <c r="AAF1" s="557" t="s">
        <v>164</v>
      </c>
      <c r="AAG1" s="557"/>
      <c r="AAH1" s="557"/>
      <c r="AAJ1" s="557" t="s">
        <v>166</v>
      </c>
      <c r="AAK1" s="557"/>
      <c r="AAL1" s="557"/>
      <c r="AAN1" s="557" t="s">
        <v>168</v>
      </c>
      <c r="AAO1" s="557"/>
      <c r="AAP1" s="557"/>
      <c r="AAR1" s="557" t="s">
        <v>170</v>
      </c>
      <c r="AAS1" s="557"/>
      <c r="AAT1" s="557"/>
      <c r="AAV1" s="557" t="s">
        <v>172</v>
      </c>
      <c r="AAW1" s="557"/>
      <c r="AAX1" s="557"/>
      <c r="AAZ1" s="557" t="s">
        <v>174</v>
      </c>
      <c r="ABA1" s="557"/>
      <c r="ABB1" s="557"/>
      <c r="ABD1" s="557" t="s">
        <v>176</v>
      </c>
      <c r="ABE1" s="557"/>
      <c r="ABF1" s="557"/>
    </row>
    <row r="2" spans="1:734">
      <c r="A2" t="s">
        <v>656</v>
      </c>
      <c r="B2" t="s">
        <v>1511</v>
      </c>
      <c r="C2">
        <v>541</v>
      </c>
      <c r="E2" s="38" t="s">
        <v>1507</v>
      </c>
      <c r="G2" s="47" t="s">
        <v>337</v>
      </c>
      <c r="H2" s="167"/>
      <c r="I2" s="147" t="s">
        <v>18</v>
      </c>
      <c r="J2" s="164"/>
      <c r="K2" s="161" t="s">
        <v>1709</v>
      </c>
      <c r="L2" s="164"/>
      <c r="M2" s="162" t="s">
        <v>30</v>
      </c>
      <c r="N2" s="166"/>
      <c r="O2" s="154" t="s">
        <v>82</v>
      </c>
      <c r="P2" s="164"/>
      <c r="Q2" s="149" t="s">
        <v>233</v>
      </c>
      <c r="S2" s="49">
        <v>84600004</v>
      </c>
      <c r="U2" t="s">
        <v>1495</v>
      </c>
      <c r="V2" t="s">
        <v>0</v>
      </c>
      <c r="W2" t="s">
        <v>1510</v>
      </c>
      <c r="Y2" t="s">
        <v>1495</v>
      </c>
      <c r="Z2" t="s">
        <v>0</v>
      </c>
      <c r="AA2" t="s">
        <v>1510</v>
      </c>
      <c r="AC2" t="s">
        <v>1495</v>
      </c>
      <c r="AD2" t="s">
        <v>0</v>
      </c>
      <c r="AE2" t="s">
        <v>1510</v>
      </c>
      <c r="AG2" t="s">
        <v>1495</v>
      </c>
      <c r="AH2" t="s">
        <v>0</v>
      </c>
      <c r="AI2" t="s">
        <v>1510</v>
      </c>
      <c r="AK2" t="s">
        <v>1495</v>
      </c>
      <c r="AL2" t="s">
        <v>0</v>
      </c>
      <c r="AM2" t="s">
        <v>1510</v>
      </c>
      <c r="AO2" t="s">
        <v>1495</v>
      </c>
      <c r="AP2" t="s">
        <v>0</v>
      </c>
      <c r="AQ2" t="s">
        <v>1510</v>
      </c>
      <c r="AS2" t="s">
        <v>1495</v>
      </c>
      <c r="AT2" t="s">
        <v>0</v>
      </c>
      <c r="AU2" t="s">
        <v>1510</v>
      </c>
      <c r="AW2" t="s">
        <v>1495</v>
      </c>
      <c r="AX2" t="s">
        <v>0</v>
      </c>
      <c r="AY2" t="s">
        <v>1510</v>
      </c>
      <c r="BA2" t="s">
        <v>1495</v>
      </c>
      <c r="BB2" t="s">
        <v>0</v>
      </c>
      <c r="BC2" t="s">
        <v>1510</v>
      </c>
      <c r="BE2" t="s">
        <v>1495</v>
      </c>
      <c r="BF2" t="s">
        <v>0</v>
      </c>
      <c r="BG2" t="s">
        <v>1510</v>
      </c>
      <c r="BI2" t="s">
        <v>1495</v>
      </c>
      <c r="BJ2" t="s">
        <v>0</v>
      </c>
      <c r="BK2" t="s">
        <v>1510</v>
      </c>
      <c r="BM2" t="s">
        <v>1495</v>
      </c>
      <c r="BN2" t="s">
        <v>0</v>
      </c>
      <c r="BO2" t="s">
        <v>1510</v>
      </c>
      <c r="BR2" t="s">
        <v>1495</v>
      </c>
      <c r="BS2" t="s">
        <v>0</v>
      </c>
      <c r="BT2" t="s">
        <v>1510</v>
      </c>
      <c r="BV2" t="s">
        <v>1495</v>
      </c>
      <c r="BW2" t="s">
        <v>0</v>
      </c>
      <c r="BX2" t="s">
        <v>1510</v>
      </c>
      <c r="BZ2" t="s">
        <v>1495</v>
      </c>
      <c r="CA2" t="s">
        <v>0</v>
      </c>
      <c r="CB2" t="s">
        <v>1510</v>
      </c>
      <c r="CD2" t="s">
        <v>1495</v>
      </c>
      <c r="CE2" t="s">
        <v>0</v>
      </c>
      <c r="CF2" t="s">
        <v>1510</v>
      </c>
      <c r="CH2" t="s">
        <v>1495</v>
      </c>
      <c r="CI2" t="s">
        <v>0</v>
      </c>
      <c r="CJ2" t="s">
        <v>1510</v>
      </c>
      <c r="CL2" t="s">
        <v>1495</v>
      </c>
      <c r="CM2" t="s">
        <v>0</v>
      </c>
      <c r="CN2" t="s">
        <v>1510</v>
      </c>
      <c r="CP2" t="s">
        <v>1495</v>
      </c>
      <c r="CQ2" t="s">
        <v>0</v>
      </c>
      <c r="CR2" t="s">
        <v>1510</v>
      </c>
      <c r="CT2" t="s">
        <v>1495</v>
      </c>
      <c r="CU2" t="s">
        <v>0</v>
      </c>
      <c r="CV2" t="s">
        <v>1510</v>
      </c>
      <c r="CX2" t="s">
        <v>1495</v>
      </c>
      <c r="CY2" t="s">
        <v>0</v>
      </c>
      <c r="CZ2" t="s">
        <v>1510</v>
      </c>
      <c r="DB2" t="s">
        <v>1495</v>
      </c>
      <c r="DC2" t="s">
        <v>0</v>
      </c>
      <c r="DD2" t="s">
        <v>1510</v>
      </c>
      <c r="DF2" t="s">
        <v>1495</v>
      </c>
      <c r="DG2" t="s">
        <v>0</v>
      </c>
      <c r="DH2" t="s">
        <v>1510</v>
      </c>
      <c r="DJ2" t="s">
        <v>1495</v>
      </c>
      <c r="DK2" t="s">
        <v>0</v>
      </c>
      <c r="DL2" t="s">
        <v>1510</v>
      </c>
      <c r="DN2" t="s">
        <v>1495</v>
      </c>
      <c r="DO2" t="s">
        <v>0</v>
      </c>
      <c r="DP2" t="s">
        <v>1510</v>
      </c>
      <c r="DR2" t="s">
        <v>1495</v>
      </c>
      <c r="DS2" t="s">
        <v>0</v>
      </c>
      <c r="DT2" t="s">
        <v>1510</v>
      </c>
      <c r="DV2" t="s">
        <v>1495</v>
      </c>
      <c r="DW2" t="s">
        <v>0</v>
      </c>
      <c r="DX2" t="s">
        <v>1510</v>
      </c>
      <c r="DZ2" t="s">
        <v>1495</v>
      </c>
      <c r="EA2" t="s">
        <v>0</v>
      </c>
      <c r="EB2" t="s">
        <v>1510</v>
      </c>
      <c r="ED2" t="s">
        <v>1495</v>
      </c>
      <c r="EE2" t="s">
        <v>0</v>
      </c>
      <c r="EF2" t="s">
        <v>1510</v>
      </c>
      <c r="EH2" t="s">
        <v>1495</v>
      </c>
      <c r="EI2" t="s">
        <v>0</v>
      </c>
      <c r="EJ2" t="s">
        <v>1510</v>
      </c>
      <c r="EL2" t="s">
        <v>1495</v>
      </c>
      <c r="EM2" t="s">
        <v>0</v>
      </c>
      <c r="EN2" t="s">
        <v>1510</v>
      </c>
      <c r="EP2" t="s">
        <v>1495</v>
      </c>
      <c r="EQ2" t="s">
        <v>0</v>
      </c>
      <c r="ER2" t="s">
        <v>1510</v>
      </c>
      <c r="ET2" t="s">
        <v>1495</v>
      </c>
      <c r="EU2" t="s">
        <v>0</v>
      </c>
      <c r="EV2" t="s">
        <v>1510</v>
      </c>
      <c r="EX2" t="s">
        <v>1495</v>
      </c>
      <c r="EY2" t="s">
        <v>0</v>
      </c>
      <c r="EZ2" t="s">
        <v>1510</v>
      </c>
      <c r="FB2" t="s">
        <v>1495</v>
      </c>
      <c r="FC2" t="s">
        <v>0</v>
      </c>
      <c r="FD2" t="s">
        <v>1510</v>
      </c>
      <c r="FF2" t="s">
        <v>1495</v>
      </c>
      <c r="FG2" t="s">
        <v>0</v>
      </c>
      <c r="FH2" t="s">
        <v>1510</v>
      </c>
      <c r="FJ2" t="s">
        <v>1495</v>
      </c>
      <c r="FK2" t="s">
        <v>0</v>
      </c>
      <c r="FL2" t="s">
        <v>1510</v>
      </c>
      <c r="FN2" t="s">
        <v>1495</v>
      </c>
      <c r="FO2" t="s">
        <v>0</v>
      </c>
      <c r="FP2" t="s">
        <v>1510</v>
      </c>
      <c r="FR2" t="s">
        <v>1495</v>
      </c>
      <c r="FS2" t="s">
        <v>0</v>
      </c>
      <c r="FT2" t="s">
        <v>1510</v>
      </c>
      <c r="FV2" t="s">
        <v>1495</v>
      </c>
      <c r="FW2" t="s">
        <v>0</v>
      </c>
      <c r="FX2" t="s">
        <v>1510</v>
      </c>
      <c r="FZ2" t="s">
        <v>1495</v>
      </c>
      <c r="GA2" t="s">
        <v>0</v>
      </c>
      <c r="GB2" t="s">
        <v>1510</v>
      </c>
      <c r="GD2" t="s">
        <v>1495</v>
      </c>
      <c r="GE2" t="s">
        <v>0</v>
      </c>
      <c r="GF2" t="s">
        <v>1510</v>
      </c>
      <c r="GH2" t="s">
        <v>1495</v>
      </c>
      <c r="GI2" t="s">
        <v>0</v>
      </c>
      <c r="GJ2" t="s">
        <v>1510</v>
      </c>
      <c r="GL2" t="s">
        <v>1495</v>
      </c>
      <c r="GM2" t="s">
        <v>0</v>
      </c>
      <c r="GN2" t="s">
        <v>1510</v>
      </c>
      <c r="GP2" t="s">
        <v>1495</v>
      </c>
      <c r="GQ2" t="s">
        <v>0</v>
      </c>
      <c r="GR2" t="s">
        <v>1510</v>
      </c>
      <c r="GT2" t="s">
        <v>1495</v>
      </c>
      <c r="GU2" t="s">
        <v>0</v>
      </c>
      <c r="GV2" t="s">
        <v>1510</v>
      </c>
      <c r="GX2" t="s">
        <v>1495</v>
      </c>
      <c r="GY2" t="s">
        <v>0</v>
      </c>
      <c r="GZ2" t="s">
        <v>1510</v>
      </c>
      <c r="HB2" t="s">
        <v>1495</v>
      </c>
      <c r="HC2" t="s">
        <v>0</v>
      </c>
      <c r="HD2" t="s">
        <v>1510</v>
      </c>
      <c r="HF2" t="s">
        <v>1495</v>
      </c>
      <c r="HG2" t="s">
        <v>0</v>
      </c>
      <c r="HH2" t="s">
        <v>1510</v>
      </c>
      <c r="HJ2" t="s">
        <v>1495</v>
      </c>
      <c r="HK2" t="s">
        <v>0</v>
      </c>
      <c r="HL2" t="s">
        <v>1510</v>
      </c>
      <c r="HN2" t="s">
        <v>1495</v>
      </c>
      <c r="HO2" t="s">
        <v>0</v>
      </c>
      <c r="HP2" t="s">
        <v>1510</v>
      </c>
      <c r="HR2" t="s">
        <v>1495</v>
      </c>
      <c r="HS2" t="s">
        <v>0</v>
      </c>
      <c r="HT2" t="s">
        <v>1510</v>
      </c>
      <c r="HV2" t="s">
        <v>1495</v>
      </c>
      <c r="HW2" t="s">
        <v>0</v>
      </c>
      <c r="HX2" t="s">
        <v>1510</v>
      </c>
      <c r="HZ2" t="s">
        <v>1495</v>
      </c>
      <c r="IA2" t="s">
        <v>0</v>
      </c>
      <c r="IB2" t="s">
        <v>1510</v>
      </c>
      <c r="ID2" t="s">
        <v>1495</v>
      </c>
      <c r="IE2" t="s">
        <v>0</v>
      </c>
      <c r="IF2" t="s">
        <v>1510</v>
      </c>
      <c r="IH2" t="s">
        <v>1495</v>
      </c>
      <c r="II2" t="s">
        <v>0</v>
      </c>
      <c r="IJ2" t="s">
        <v>1510</v>
      </c>
      <c r="IL2" t="s">
        <v>1495</v>
      </c>
      <c r="IM2" t="s">
        <v>0</v>
      </c>
      <c r="IN2" t="s">
        <v>1510</v>
      </c>
      <c r="IP2" t="s">
        <v>1495</v>
      </c>
      <c r="IQ2" t="s">
        <v>0</v>
      </c>
      <c r="IR2" t="s">
        <v>1510</v>
      </c>
      <c r="IT2" t="s">
        <v>1495</v>
      </c>
      <c r="IU2" t="s">
        <v>0</v>
      </c>
      <c r="IV2" t="s">
        <v>1510</v>
      </c>
      <c r="IX2" t="s">
        <v>1495</v>
      </c>
      <c r="IY2" t="s">
        <v>0</v>
      </c>
      <c r="IZ2" t="s">
        <v>1510</v>
      </c>
      <c r="JB2" t="s">
        <v>1495</v>
      </c>
      <c r="JC2" t="s">
        <v>0</v>
      </c>
      <c r="JD2" t="s">
        <v>1510</v>
      </c>
      <c r="JF2" t="s">
        <v>1495</v>
      </c>
      <c r="JG2" t="s">
        <v>0</v>
      </c>
      <c r="JH2" t="s">
        <v>1510</v>
      </c>
      <c r="JJ2" t="s">
        <v>1495</v>
      </c>
      <c r="JK2" t="s">
        <v>0</v>
      </c>
      <c r="JL2" t="s">
        <v>1510</v>
      </c>
      <c r="JN2" t="s">
        <v>1495</v>
      </c>
      <c r="JO2" t="s">
        <v>0</v>
      </c>
      <c r="JP2" t="s">
        <v>1510</v>
      </c>
      <c r="JR2" t="s">
        <v>1495</v>
      </c>
      <c r="JS2" t="s">
        <v>0</v>
      </c>
      <c r="JT2" t="s">
        <v>1510</v>
      </c>
      <c r="JV2" t="s">
        <v>1495</v>
      </c>
      <c r="JW2" t="s">
        <v>0</v>
      </c>
      <c r="JX2" t="s">
        <v>1510</v>
      </c>
      <c r="JZ2" t="s">
        <v>1495</v>
      </c>
      <c r="KA2" t="s">
        <v>0</v>
      </c>
      <c r="KB2" t="s">
        <v>1510</v>
      </c>
      <c r="KD2" t="s">
        <v>1495</v>
      </c>
      <c r="KE2" t="s">
        <v>0</v>
      </c>
      <c r="KF2" t="s">
        <v>1510</v>
      </c>
      <c r="KH2" t="s">
        <v>1495</v>
      </c>
      <c r="KI2" t="s">
        <v>0</v>
      </c>
      <c r="KJ2" t="s">
        <v>1510</v>
      </c>
      <c r="KL2" t="s">
        <v>1495</v>
      </c>
      <c r="KM2" t="s">
        <v>0</v>
      </c>
      <c r="KN2" t="s">
        <v>1510</v>
      </c>
      <c r="KP2" t="s">
        <v>1495</v>
      </c>
      <c r="KQ2" t="s">
        <v>0</v>
      </c>
      <c r="KR2" t="s">
        <v>1510</v>
      </c>
      <c r="KT2" t="s">
        <v>1495</v>
      </c>
      <c r="KU2" t="s">
        <v>0</v>
      </c>
      <c r="KV2" t="s">
        <v>1510</v>
      </c>
      <c r="KX2" t="s">
        <v>1495</v>
      </c>
      <c r="KY2" t="s">
        <v>0</v>
      </c>
      <c r="KZ2" t="s">
        <v>1510</v>
      </c>
      <c r="LB2" t="s">
        <v>1495</v>
      </c>
      <c r="LC2" t="s">
        <v>0</v>
      </c>
      <c r="LD2" t="s">
        <v>1510</v>
      </c>
      <c r="LF2" t="s">
        <v>1495</v>
      </c>
      <c r="LG2" t="s">
        <v>0</v>
      </c>
      <c r="LH2" t="s">
        <v>1510</v>
      </c>
      <c r="LJ2" t="s">
        <v>1495</v>
      </c>
      <c r="LK2" t="s">
        <v>0</v>
      </c>
      <c r="LL2" t="s">
        <v>1510</v>
      </c>
      <c r="LN2" t="s">
        <v>1495</v>
      </c>
      <c r="LO2" t="s">
        <v>0</v>
      </c>
      <c r="LP2" t="s">
        <v>1510</v>
      </c>
      <c r="LR2" t="s">
        <v>1495</v>
      </c>
      <c r="LS2" t="s">
        <v>0</v>
      </c>
      <c r="LT2" t="s">
        <v>1510</v>
      </c>
      <c r="LV2" t="s">
        <v>1495</v>
      </c>
      <c r="LW2" t="s">
        <v>0</v>
      </c>
      <c r="LX2" t="s">
        <v>1510</v>
      </c>
      <c r="LZ2" t="s">
        <v>1495</v>
      </c>
      <c r="MA2" t="s">
        <v>0</v>
      </c>
      <c r="MB2" t="s">
        <v>1510</v>
      </c>
      <c r="MD2" t="s">
        <v>1495</v>
      </c>
      <c r="ME2" t="s">
        <v>0</v>
      </c>
      <c r="MF2" t="s">
        <v>1510</v>
      </c>
      <c r="MH2" t="s">
        <v>1495</v>
      </c>
      <c r="MI2" t="s">
        <v>0</v>
      </c>
      <c r="MJ2" t="s">
        <v>1510</v>
      </c>
      <c r="ML2" t="s">
        <v>1495</v>
      </c>
      <c r="MM2" t="s">
        <v>0</v>
      </c>
      <c r="MN2" t="s">
        <v>1510</v>
      </c>
      <c r="MP2" t="s">
        <v>1495</v>
      </c>
      <c r="MQ2" t="s">
        <v>0</v>
      </c>
      <c r="MR2" t="s">
        <v>1510</v>
      </c>
      <c r="MT2" t="s">
        <v>1495</v>
      </c>
      <c r="MU2" t="s">
        <v>0</v>
      </c>
      <c r="MV2" t="s">
        <v>1510</v>
      </c>
      <c r="MX2" t="s">
        <v>1495</v>
      </c>
      <c r="MY2" t="s">
        <v>0</v>
      </c>
      <c r="MZ2" t="s">
        <v>1510</v>
      </c>
      <c r="NA2" t="s">
        <v>1954</v>
      </c>
      <c r="NB2" t="s">
        <v>1958</v>
      </c>
      <c r="NC2" t="s">
        <v>1956</v>
      </c>
      <c r="NE2" t="s">
        <v>1955</v>
      </c>
      <c r="NF2" t="s">
        <v>1961</v>
      </c>
      <c r="NH2" t="s">
        <v>1495</v>
      </c>
      <c r="NI2" t="s">
        <v>0</v>
      </c>
      <c r="NJ2" t="s">
        <v>1510</v>
      </c>
      <c r="NL2" t="s">
        <v>1495</v>
      </c>
      <c r="NM2" t="s">
        <v>0</v>
      </c>
      <c r="NN2" t="s">
        <v>1510</v>
      </c>
      <c r="NP2" t="s">
        <v>1495</v>
      </c>
      <c r="NQ2" t="s">
        <v>0</v>
      </c>
      <c r="NR2" t="s">
        <v>1510</v>
      </c>
      <c r="NT2" t="s">
        <v>1495</v>
      </c>
      <c r="NU2" t="s">
        <v>0</v>
      </c>
      <c r="NV2" t="s">
        <v>1510</v>
      </c>
      <c r="NX2" t="s">
        <v>1495</v>
      </c>
      <c r="NY2" t="s">
        <v>0</v>
      </c>
      <c r="NZ2" t="s">
        <v>1510</v>
      </c>
      <c r="OB2" t="s">
        <v>1495</v>
      </c>
      <c r="OC2" t="s">
        <v>0</v>
      </c>
      <c r="OD2" t="s">
        <v>1510</v>
      </c>
      <c r="OF2" t="s">
        <v>1495</v>
      </c>
      <c r="OG2" t="s">
        <v>0</v>
      </c>
      <c r="OH2" t="s">
        <v>1510</v>
      </c>
      <c r="OJ2" t="s">
        <v>1495</v>
      </c>
      <c r="OK2" t="s">
        <v>0</v>
      </c>
      <c r="OL2" t="s">
        <v>1510</v>
      </c>
      <c r="ON2" t="s">
        <v>1495</v>
      </c>
      <c r="OO2" t="s">
        <v>0</v>
      </c>
      <c r="OP2" t="s">
        <v>1510</v>
      </c>
      <c r="OR2" t="s">
        <v>1495</v>
      </c>
      <c r="OS2" t="s">
        <v>0</v>
      </c>
      <c r="OT2" t="s">
        <v>1510</v>
      </c>
      <c r="OV2" t="s">
        <v>1495</v>
      </c>
      <c r="OW2" t="s">
        <v>0</v>
      </c>
      <c r="OX2" t="s">
        <v>1510</v>
      </c>
      <c r="OZ2" t="s">
        <v>1495</v>
      </c>
      <c r="PA2" t="s">
        <v>0</v>
      </c>
      <c r="PB2" t="s">
        <v>1510</v>
      </c>
      <c r="PD2" t="s">
        <v>1495</v>
      </c>
      <c r="PE2" t="s">
        <v>0</v>
      </c>
      <c r="PF2" t="s">
        <v>1510</v>
      </c>
      <c r="PH2" t="s">
        <v>1495</v>
      </c>
      <c r="PI2" t="s">
        <v>0</v>
      </c>
      <c r="PJ2" t="s">
        <v>1510</v>
      </c>
      <c r="PL2" t="s">
        <v>1495</v>
      </c>
      <c r="PM2" t="s">
        <v>0</v>
      </c>
      <c r="PN2" t="s">
        <v>1510</v>
      </c>
      <c r="PP2" t="s">
        <v>1495</v>
      </c>
      <c r="PQ2" t="s">
        <v>0</v>
      </c>
      <c r="PR2" t="s">
        <v>1510</v>
      </c>
      <c r="PT2" t="s">
        <v>1495</v>
      </c>
      <c r="PU2" t="s">
        <v>0</v>
      </c>
      <c r="PV2" t="s">
        <v>1510</v>
      </c>
      <c r="PX2" t="s">
        <v>1495</v>
      </c>
      <c r="PY2" t="s">
        <v>0</v>
      </c>
      <c r="PZ2" t="s">
        <v>1510</v>
      </c>
      <c r="QB2" t="s">
        <v>1495</v>
      </c>
      <c r="QC2" t="s">
        <v>0</v>
      </c>
      <c r="QD2" t="s">
        <v>1510</v>
      </c>
      <c r="QF2" t="s">
        <v>1495</v>
      </c>
      <c r="QG2" t="s">
        <v>0</v>
      </c>
      <c r="QH2" t="s">
        <v>1510</v>
      </c>
      <c r="QN2" t="s">
        <v>1495</v>
      </c>
      <c r="QO2" t="s">
        <v>0</v>
      </c>
      <c r="QP2" t="s">
        <v>1510</v>
      </c>
      <c r="QR2" t="s">
        <v>1495</v>
      </c>
      <c r="QS2" t="s">
        <v>0</v>
      </c>
      <c r="QT2" t="s">
        <v>1510</v>
      </c>
      <c r="QV2" t="s">
        <v>1495</v>
      </c>
      <c r="QW2" t="s">
        <v>0</v>
      </c>
      <c r="QX2" t="s">
        <v>1510</v>
      </c>
      <c r="QZ2" t="s">
        <v>1495</v>
      </c>
      <c r="RA2" t="s">
        <v>0</v>
      </c>
      <c r="RB2" t="s">
        <v>1510</v>
      </c>
      <c r="RD2" t="s">
        <v>1495</v>
      </c>
      <c r="RE2" t="s">
        <v>0</v>
      </c>
      <c r="RF2" t="s">
        <v>1510</v>
      </c>
      <c r="RH2" t="s">
        <v>1495</v>
      </c>
      <c r="RI2" t="s">
        <v>0</v>
      </c>
      <c r="RJ2" t="s">
        <v>1510</v>
      </c>
      <c r="RL2" t="s">
        <v>1495</v>
      </c>
      <c r="RM2" t="s">
        <v>0</v>
      </c>
      <c r="RN2" t="s">
        <v>1510</v>
      </c>
      <c r="RP2" t="s">
        <v>1495</v>
      </c>
      <c r="RQ2" t="s">
        <v>0</v>
      </c>
      <c r="RR2" t="s">
        <v>1510</v>
      </c>
      <c r="RT2" t="s">
        <v>1495</v>
      </c>
      <c r="RU2" t="s">
        <v>0</v>
      </c>
      <c r="RV2" t="s">
        <v>1510</v>
      </c>
      <c r="RX2" t="s">
        <v>1495</v>
      </c>
      <c r="RY2" t="s">
        <v>0</v>
      </c>
      <c r="RZ2" t="s">
        <v>1510</v>
      </c>
      <c r="SB2" t="s">
        <v>1495</v>
      </c>
      <c r="SC2" t="s">
        <v>0</v>
      </c>
      <c r="SD2" t="s">
        <v>1510</v>
      </c>
      <c r="SF2" t="s">
        <v>1495</v>
      </c>
      <c r="SG2" t="s">
        <v>0</v>
      </c>
      <c r="SH2" t="s">
        <v>1510</v>
      </c>
      <c r="SJ2" t="s">
        <v>1495</v>
      </c>
      <c r="SK2" t="s">
        <v>0</v>
      </c>
      <c r="SL2" t="s">
        <v>1510</v>
      </c>
      <c r="SN2" t="s">
        <v>1495</v>
      </c>
      <c r="SO2" t="s">
        <v>0</v>
      </c>
      <c r="SP2" t="s">
        <v>1510</v>
      </c>
      <c r="SR2" t="s">
        <v>1495</v>
      </c>
      <c r="SS2" t="s">
        <v>0</v>
      </c>
      <c r="ST2" t="s">
        <v>1510</v>
      </c>
      <c r="SV2" t="s">
        <v>1495</v>
      </c>
      <c r="SW2" t="s">
        <v>0</v>
      </c>
      <c r="SX2" t="s">
        <v>1510</v>
      </c>
      <c r="SZ2" t="s">
        <v>1495</v>
      </c>
      <c r="TA2" t="s">
        <v>0</v>
      </c>
      <c r="TB2" t="s">
        <v>1510</v>
      </c>
      <c r="TD2" t="s">
        <v>1495</v>
      </c>
      <c r="TE2" t="s">
        <v>0</v>
      </c>
      <c r="TF2" t="s">
        <v>1510</v>
      </c>
      <c r="TH2" t="s">
        <v>1495</v>
      </c>
      <c r="TI2" t="s">
        <v>0</v>
      </c>
      <c r="TJ2" t="s">
        <v>1510</v>
      </c>
      <c r="TL2" t="s">
        <v>1495</v>
      </c>
      <c r="TM2" t="s">
        <v>0</v>
      </c>
      <c r="TN2" t="s">
        <v>1510</v>
      </c>
      <c r="TP2" t="s">
        <v>1495</v>
      </c>
      <c r="TQ2" t="s">
        <v>0</v>
      </c>
      <c r="TR2" t="s">
        <v>1510</v>
      </c>
      <c r="TT2" t="s">
        <v>1495</v>
      </c>
      <c r="TU2" t="s">
        <v>0</v>
      </c>
      <c r="TV2" t="s">
        <v>1510</v>
      </c>
      <c r="TX2" t="s">
        <v>1495</v>
      </c>
      <c r="TY2" t="s">
        <v>0</v>
      </c>
      <c r="TZ2" t="s">
        <v>1510</v>
      </c>
      <c r="UB2" t="s">
        <v>1495</v>
      </c>
      <c r="UC2" t="s">
        <v>0</v>
      </c>
      <c r="UD2" t="s">
        <v>1510</v>
      </c>
      <c r="UF2" t="s">
        <v>1495</v>
      </c>
      <c r="UG2" t="s">
        <v>0</v>
      </c>
      <c r="UH2" t="s">
        <v>1510</v>
      </c>
      <c r="UJ2" t="s">
        <v>1495</v>
      </c>
      <c r="UK2" t="s">
        <v>0</v>
      </c>
      <c r="UL2" t="s">
        <v>1510</v>
      </c>
      <c r="UN2" t="s">
        <v>1495</v>
      </c>
      <c r="UO2" t="s">
        <v>0</v>
      </c>
      <c r="UP2" t="s">
        <v>1510</v>
      </c>
      <c r="UR2" t="s">
        <v>1495</v>
      </c>
      <c r="US2" t="s">
        <v>0</v>
      </c>
      <c r="UT2" t="s">
        <v>1510</v>
      </c>
      <c r="UV2" t="s">
        <v>1495</v>
      </c>
      <c r="UW2" t="s">
        <v>0</v>
      </c>
      <c r="UX2" t="s">
        <v>1510</v>
      </c>
      <c r="UZ2" t="s">
        <v>1495</v>
      </c>
      <c r="VA2" t="s">
        <v>0</v>
      </c>
      <c r="VB2" t="s">
        <v>1510</v>
      </c>
      <c r="VD2" t="s">
        <v>1495</v>
      </c>
      <c r="VE2" t="s">
        <v>0</v>
      </c>
      <c r="VF2" t="s">
        <v>1510</v>
      </c>
      <c r="VH2" t="s">
        <v>1495</v>
      </c>
      <c r="VI2" t="s">
        <v>0</v>
      </c>
      <c r="VJ2" t="s">
        <v>1510</v>
      </c>
      <c r="VL2" t="s">
        <v>1495</v>
      </c>
      <c r="VM2" t="s">
        <v>0</v>
      </c>
      <c r="VN2" t="s">
        <v>1510</v>
      </c>
      <c r="VP2" t="s">
        <v>1495</v>
      </c>
      <c r="VQ2" t="s">
        <v>0</v>
      </c>
      <c r="VR2" t="s">
        <v>1510</v>
      </c>
      <c r="VT2" t="s">
        <v>1495</v>
      </c>
      <c r="VU2" t="s">
        <v>0</v>
      </c>
      <c r="VV2" t="s">
        <v>1510</v>
      </c>
      <c r="VX2" t="s">
        <v>1495</v>
      </c>
      <c r="VY2" t="s">
        <v>0</v>
      </c>
      <c r="VZ2" t="s">
        <v>1510</v>
      </c>
      <c r="WB2" t="s">
        <v>1495</v>
      </c>
      <c r="WC2" t="s">
        <v>0</v>
      </c>
      <c r="WD2" t="s">
        <v>1510</v>
      </c>
      <c r="WF2" t="s">
        <v>1495</v>
      </c>
      <c r="WG2" t="s">
        <v>0</v>
      </c>
      <c r="WH2" t="s">
        <v>1510</v>
      </c>
      <c r="WJ2" t="s">
        <v>1495</v>
      </c>
      <c r="WK2" t="s">
        <v>0</v>
      </c>
      <c r="WL2" t="s">
        <v>1510</v>
      </c>
      <c r="WN2" t="s">
        <v>1495</v>
      </c>
      <c r="WO2" t="s">
        <v>0</v>
      </c>
      <c r="WP2" t="s">
        <v>1510</v>
      </c>
      <c r="WR2" t="s">
        <v>1495</v>
      </c>
      <c r="WS2" t="s">
        <v>0</v>
      </c>
      <c r="WT2" t="s">
        <v>1510</v>
      </c>
      <c r="WV2" t="s">
        <v>1495</v>
      </c>
      <c r="WW2" t="s">
        <v>0</v>
      </c>
      <c r="WX2" t="s">
        <v>1510</v>
      </c>
      <c r="WZ2" t="s">
        <v>1495</v>
      </c>
      <c r="XA2" t="s">
        <v>0</v>
      </c>
      <c r="XB2" t="s">
        <v>1510</v>
      </c>
      <c r="XD2" t="s">
        <v>1495</v>
      </c>
      <c r="XE2" t="s">
        <v>0</v>
      </c>
      <c r="XF2" t="s">
        <v>1510</v>
      </c>
      <c r="XH2" t="s">
        <v>1495</v>
      </c>
      <c r="XI2" t="s">
        <v>0</v>
      </c>
      <c r="XJ2" t="s">
        <v>1510</v>
      </c>
      <c r="XL2" t="s">
        <v>1495</v>
      </c>
      <c r="XM2" t="s">
        <v>0</v>
      </c>
      <c r="XN2" t="s">
        <v>1510</v>
      </c>
      <c r="XP2" t="s">
        <v>1495</v>
      </c>
      <c r="XQ2" t="s">
        <v>0</v>
      </c>
      <c r="XR2" t="s">
        <v>1510</v>
      </c>
      <c r="XT2" t="s">
        <v>1495</v>
      </c>
      <c r="XU2" t="s">
        <v>0</v>
      </c>
      <c r="XV2" t="s">
        <v>1510</v>
      </c>
      <c r="XX2" t="s">
        <v>1495</v>
      </c>
      <c r="XY2" t="s">
        <v>0</v>
      </c>
      <c r="XZ2" t="s">
        <v>1510</v>
      </c>
      <c r="YB2" t="s">
        <v>1495</v>
      </c>
      <c r="YC2" t="s">
        <v>0</v>
      </c>
      <c r="YD2" t="s">
        <v>1510</v>
      </c>
      <c r="YF2" t="s">
        <v>1495</v>
      </c>
      <c r="YG2" t="s">
        <v>0</v>
      </c>
      <c r="YH2" t="s">
        <v>1510</v>
      </c>
      <c r="YJ2" t="s">
        <v>1495</v>
      </c>
      <c r="YK2" t="s">
        <v>0</v>
      </c>
      <c r="YL2" t="s">
        <v>1510</v>
      </c>
      <c r="YN2" t="s">
        <v>1495</v>
      </c>
      <c r="YO2" t="s">
        <v>0</v>
      </c>
      <c r="YP2" t="s">
        <v>1510</v>
      </c>
      <c r="YR2" t="s">
        <v>1495</v>
      </c>
      <c r="YS2" t="s">
        <v>0</v>
      </c>
      <c r="YT2" t="s">
        <v>1510</v>
      </c>
      <c r="YV2" t="s">
        <v>1495</v>
      </c>
      <c r="YW2" t="s">
        <v>0</v>
      </c>
      <c r="YX2" t="s">
        <v>1510</v>
      </c>
      <c r="YZ2" t="s">
        <v>1495</v>
      </c>
      <c r="ZA2" t="s">
        <v>0</v>
      </c>
      <c r="ZB2" t="s">
        <v>1510</v>
      </c>
      <c r="ZD2" t="s">
        <v>1495</v>
      </c>
      <c r="ZE2" t="s">
        <v>0</v>
      </c>
      <c r="ZF2" t="s">
        <v>1510</v>
      </c>
      <c r="ZH2" t="s">
        <v>1495</v>
      </c>
      <c r="ZI2" t="s">
        <v>0</v>
      </c>
      <c r="ZJ2" t="s">
        <v>1510</v>
      </c>
      <c r="ZL2" t="s">
        <v>1495</v>
      </c>
      <c r="ZM2" t="s">
        <v>0</v>
      </c>
      <c r="ZN2" t="s">
        <v>1510</v>
      </c>
      <c r="ZP2" t="s">
        <v>1495</v>
      </c>
      <c r="ZQ2" t="s">
        <v>0</v>
      </c>
      <c r="ZT2" t="s">
        <v>1495</v>
      </c>
      <c r="ZU2" t="s">
        <v>0</v>
      </c>
      <c r="ZV2" t="s">
        <v>1510</v>
      </c>
      <c r="ZX2" t="s">
        <v>1495</v>
      </c>
      <c r="ZY2" t="s">
        <v>0</v>
      </c>
      <c r="ZZ2" t="s">
        <v>1510</v>
      </c>
      <c r="AAB2" t="s">
        <v>1495</v>
      </c>
      <c r="AAC2" t="s">
        <v>0</v>
      </c>
      <c r="AAD2" t="s">
        <v>1510</v>
      </c>
      <c r="AAF2" t="s">
        <v>1495</v>
      </c>
      <c r="AAG2" t="s">
        <v>0</v>
      </c>
      <c r="AAH2" t="s">
        <v>1510</v>
      </c>
      <c r="AAJ2" t="s">
        <v>1495</v>
      </c>
      <c r="AAK2" t="s">
        <v>0</v>
      </c>
      <c r="AAL2" t="s">
        <v>1510</v>
      </c>
      <c r="AAN2" t="s">
        <v>1495</v>
      </c>
      <c r="AAO2" t="s">
        <v>0</v>
      </c>
      <c r="AAP2" t="s">
        <v>1510</v>
      </c>
      <c r="AAR2" t="s">
        <v>1495</v>
      </c>
      <c r="AAS2" t="s">
        <v>0</v>
      </c>
      <c r="AAT2" t="s">
        <v>1510</v>
      </c>
      <c r="AAV2" t="s">
        <v>1495</v>
      </c>
      <c r="AAW2" t="s">
        <v>0</v>
      </c>
      <c r="AAX2" t="s">
        <v>1510</v>
      </c>
      <c r="AAZ2" t="s">
        <v>1495</v>
      </c>
      <c r="ABA2" t="s">
        <v>0</v>
      </c>
      <c r="ABB2" t="s">
        <v>1510</v>
      </c>
      <c r="ABD2" t="s">
        <v>1495</v>
      </c>
      <c r="ABE2" t="s">
        <v>0</v>
      </c>
      <c r="ABF2" t="s">
        <v>1510</v>
      </c>
    </row>
    <row r="3" spans="1:734">
      <c r="A3" t="s">
        <v>540</v>
      </c>
      <c r="B3" t="s">
        <v>1596</v>
      </c>
      <c r="C3">
        <v>491</v>
      </c>
      <c r="E3" s="38" t="s">
        <v>1505</v>
      </c>
      <c r="G3" s="47" t="s">
        <v>335</v>
      </c>
      <c r="H3" s="138"/>
      <c r="I3" s="148" t="s">
        <v>22</v>
      </c>
      <c r="J3" s="164"/>
      <c r="K3" s="176" t="s">
        <v>1717</v>
      </c>
      <c r="L3" s="164"/>
      <c r="M3" s="162" t="s">
        <v>32</v>
      </c>
      <c r="N3" s="166"/>
      <c r="O3" s="154" t="s">
        <v>84</v>
      </c>
      <c r="P3" s="164"/>
      <c r="Q3" s="149" t="s">
        <v>231</v>
      </c>
      <c r="S3" s="49">
        <v>84600006</v>
      </c>
      <c r="U3" t="s">
        <v>656</v>
      </c>
      <c r="V3" t="s">
        <v>1511</v>
      </c>
      <c r="W3">
        <v>541</v>
      </c>
      <c r="Y3" t="s">
        <v>540</v>
      </c>
      <c r="Z3" t="s">
        <v>1596</v>
      </c>
      <c r="AA3">
        <v>491</v>
      </c>
      <c r="AC3" t="s">
        <v>536</v>
      </c>
      <c r="AD3" t="s">
        <v>1605</v>
      </c>
      <c r="AE3">
        <v>490</v>
      </c>
      <c r="AG3" t="s">
        <v>1598</v>
      </c>
      <c r="AH3" t="s">
        <v>1612</v>
      </c>
      <c r="AI3">
        <v>526</v>
      </c>
      <c r="AK3" s="172" t="s">
        <v>1626</v>
      </c>
      <c r="AL3" t="s">
        <v>1625</v>
      </c>
      <c r="AM3">
        <v>0</v>
      </c>
      <c r="AO3" s="172" t="s">
        <v>1627</v>
      </c>
      <c r="AP3" t="s">
        <v>1628</v>
      </c>
      <c r="AQ3">
        <v>0</v>
      </c>
      <c r="AS3" s="172" t="s">
        <v>1626</v>
      </c>
      <c r="AT3" t="s">
        <v>1625</v>
      </c>
      <c r="AU3">
        <v>0</v>
      </c>
      <c r="AW3" s="172" t="s">
        <v>1627</v>
      </c>
      <c r="AX3" t="s">
        <v>1628</v>
      </c>
      <c r="AY3">
        <v>0</v>
      </c>
      <c r="BA3" s="172" t="s">
        <v>1627</v>
      </c>
      <c r="BB3" t="s">
        <v>1628</v>
      </c>
      <c r="BC3">
        <v>0</v>
      </c>
      <c r="BE3" s="172" t="s">
        <v>1626</v>
      </c>
      <c r="BF3" t="s">
        <v>1625</v>
      </c>
      <c r="BG3">
        <v>0</v>
      </c>
      <c r="BI3" t="s">
        <v>588</v>
      </c>
      <c r="BJ3" t="s">
        <v>1633</v>
      </c>
      <c r="BK3">
        <v>2266</v>
      </c>
      <c r="BM3" t="s">
        <v>588</v>
      </c>
      <c r="BN3" t="s">
        <v>1633</v>
      </c>
      <c r="BO3">
        <v>2266</v>
      </c>
      <c r="BR3" t="s">
        <v>588</v>
      </c>
      <c r="BS3" t="s">
        <v>1633</v>
      </c>
      <c r="BT3">
        <v>2266</v>
      </c>
      <c r="BV3" t="s">
        <v>592</v>
      </c>
      <c r="BW3" t="s">
        <v>1633</v>
      </c>
      <c r="BX3">
        <v>1164</v>
      </c>
      <c r="BZ3" t="s">
        <v>586</v>
      </c>
      <c r="CA3" t="s">
        <v>1639</v>
      </c>
      <c r="CB3">
        <v>1092</v>
      </c>
      <c r="CD3" t="s">
        <v>548</v>
      </c>
      <c r="CE3" t="s">
        <v>1643</v>
      </c>
      <c r="CF3">
        <v>618</v>
      </c>
      <c r="CH3" t="s">
        <v>548</v>
      </c>
      <c r="CI3" t="s">
        <v>1643</v>
      </c>
      <c r="CJ3">
        <v>618</v>
      </c>
      <c r="CL3" t="s">
        <v>548</v>
      </c>
      <c r="CM3" t="s">
        <v>1643</v>
      </c>
      <c r="CN3">
        <v>618</v>
      </c>
      <c r="CP3" t="s">
        <v>580</v>
      </c>
      <c r="CQ3" t="s">
        <v>580</v>
      </c>
      <c r="CR3">
        <v>376</v>
      </c>
      <c r="CT3" t="s">
        <v>580</v>
      </c>
      <c r="CU3" t="s">
        <v>580</v>
      </c>
      <c r="CV3">
        <v>376</v>
      </c>
      <c r="CX3" t="s">
        <v>580</v>
      </c>
      <c r="CY3" t="s">
        <v>580</v>
      </c>
      <c r="CZ3">
        <v>376</v>
      </c>
      <c r="DB3" t="s">
        <v>245</v>
      </c>
      <c r="DC3" t="s">
        <v>1665</v>
      </c>
      <c r="DD3">
        <v>284</v>
      </c>
      <c r="DF3" t="s">
        <v>245</v>
      </c>
      <c r="DG3" t="s">
        <v>1665</v>
      </c>
      <c r="DH3">
        <v>284</v>
      </c>
      <c r="DJ3" t="s">
        <v>245</v>
      </c>
      <c r="DK3" t="s">
        <v>1665</v>
      </c>
      <c r="DL3">
        <v>284</v>
      </c>
      <c r="DN3" t="s">
        <v>245</v>
      </c>
      <c r="DO3" t="s">
        <v>1665</v>
      </c>
      <c r="DP3">
        <v>284</v>
      </c>
      <c r="DR3" t="s">
        <v>245</v>
      </c>
      <c r="DS3" t="s">
        <v>1665</v>
      </c>
      <c r="DT3">
        <v>284</v>
      </c>
      <c r="DV3" t="s">
        <v>255</v>
      </c>
      <c r="DW3" t="s">
        <v>1678</v>
      </c>
      <c r="DX3">
        <v>2632</v>
      </c>
      <c r="DZ3" t="s">
        <v>255</v>
      </c>
      <c r="EA3" t="s">
        <v>1678</v>
      </c>
      <c r="EB3">
        <v>2632</v>
      </c>
      <c r="ED3" t="s">
        <v>255</v>
      </c>
      <c r="EE3" t="s">
        <v>1678</v>
      </c>
      <c r="EF3">
        <v>2632</v>
      </c>
      <c r="EH3" t="s">
        <v>255</v>
      </c>
      <c r="EI3" t="s">
        <v>1678</v>
      </c>
      <c r="EJ3">
        <v>2632</v>
      </c>
      <c r="EL3" t="s">
        <v>255</v>
      </c>
      <c r="EM3" t="s">
        <v>1678</v>
      </c>
      <c r="EN3">
        <v>2632</v>
      </c>
      <c r="EP3" t="s">
        <v>255</v>
      </c>
      <c r="EQ3" t="s">
        <v>1678</v>
      </c>
      <c r="ER3">
        <v>2632</v>
      </c>
      <c r="ET3">
        <v>84600006</v>
      </c>
      <c r="EU3" t="s">
        <v>1697</v>
      </c>
      <c r="EV3">
        <v>67</v>
      </c>
      <c r="EX3">
        <v>84600006</v>
      </c>
      <c r="EY3" t="s">
        <v>1697</v>
      </c>
      <c r="EZ3">
        <v>67</v>
      </c>
      <c r="FB3">
        <v>84600006</v>
      </c>
      <c r="FC3" t="s">
        <v>1697</v>
      </c>
      <c r="FD3">
        <v>67</v>
      </c>
      <c r="FF3">
        <v>84600006</v>
      </c>
      <c r="FG3" t="s">
        <v>1697</v>
      </c>
      <c r="FH3">
        <v>67</v>
      </c>
      <c r="FJ3">
        <v>84600006</v>
      </c>
      <c r="FK3" t="s">
        <v>1697</v>
      </c>
      <c r="FL3">
        <v>67</v>
      </c>
      <c r="FN3">
        <v>84600006</v>
      </c>
      <c r="FO3" t="s">
        <v>1697</v>
      </c>
      <c r="FP3">
        <v>67</v>
      </c>
      <c r="FR3">
        <v>84600006</v>
      </c>
      <c r="FS3" t="s">
        <v>1697</v>
      </c>
      <c r="FT3">
        <v>67</v>
      </c>
      <c r="FV3">
        <v>84600006</v>
      </c>
      <c r="FW3" t="s">
        <v>1697</v>
      </c>
      <c r="FX3">
        <v>67</v>
      </c>
      <c r="FZ3">
        <v>84600006</v>
      </c>
      <c r="GA3" t="s">
        <v>1697</v>
      </c>
      <c r="GB3">
        <v>67</v>
      </c>
      <c r="GD3">
        <v>84600006</v>
      </c>
      <c r="GE3" t="s">
        <v>1697</v>
      </c>
      <c r="GF3">
        <v>67</v>
      </c>
      <c r="GH3">
        <v>84600006</v>
      </c>
      <c r="GI3" t="s">
        <v>1697</v>
      </c>
      <c r="GJ3">
        <v>67</v>
      </c>
      <c r="GL3">
        <v>84600006</v>
      </c>
      <c r="GM3" t="s">
        <v>1697</v>
      </c>
      <c r="GN3">
        <v>67</v>
      </c>
      <c r="GP3">
        <v>84600006</v>
      </c>
      <c r="GQ3" t="s">
        <v>1697</v>
      </c>
      <c r="GR3">
        <v>67</v>
      </c>
      <c r="GT3">
        <v>84600006</v>
      </c>
      <c r="GU3" t="s">
        <v>1697</v>
      </c>
      <c r="GV3">
        <v>67</v>
      </c>
      <c r="GX3">
        <v>84600006</v>
      </c>
      <c r="GY3" t="s">
        <v>1697</v>
      </c>
      <c r="GZ3">
        <v>67</v>
      </c>
      <c r="HB3">
        <v>84600006</v>
      </c>
      <c r="HC3" t="s">
        <v>1697</v>
      </c>
      <c r="HD3">
        <v>67</v>
      </c>
      <c r="HF3">
        <v>84600006</v>
      </c>
      <c r="HG3" t="s">
        <v>1697</v>
      </c>
      <c r="HH3">
        <v>67</v>
      </c>
      <c r="HJ3">
        <v>84600006</v>
      </c>
      <c r="HK3" t="s">
        <v>1697</v>
      </c>
      <c r="HL3">
        <v>67</v>
      </c>
      <c r="HN3">
        <v>84600006</v>
      </c>
      <c r="HO3" t="s">
        <v>1697</v>
      </c>
      <c r="HP3">
        <v>67</v>
      </c>
      <c r="HR3" t="s">
        <v>1231</v>
      </c>
      <c r="HS3" t="s">
        <v>1781</v>
      </c>
      <c r="HT3">
        <v>88</v>
      </c>
      <c r="HV3" t="s">
        <v>1231</v>
      </c>
      <c r="HW3" t="s">
        <v>1781</v>
      </c>
      <c r="HX3">
        <v>88</v>
      </c>
      <c r="HZ3" t="s">
        <v>1218</v>
      </c>
      <c r="IA3" t="s">
        <v>1797</v>
      </c>
      <c r="IB3">
        <v>742</v>
      </c>
      <c r="ID3" t="s">
        <v>1110</v>
      </c>
      <c r="IE3" t="s">
        <v>1795</v>
      </c>
      <c r="IF3">
        <v>263</v>
      </c>
      <c r="IH3" t="s">
        <v>1078</v>
      </c>
      <c r="II3" t="s">
        <v>1801</v>
      </c>
      <c r="IJ3">
        <v>47</v>
      </c>
      <c r="IL3" t="s">
        <v>1231</v>
      </c>
      <c r="IM3" t="s">
        <v>1804</v>
      </c>
      <c r="IN3">
        <v>88</v>
      </c>
      <c r="IP3" t="s">
        <v>1114</v>
      </c>
      <c r="IQ3" t="s">
        <v>1809</v>
      </c>
      <c r="IR3">
        <v>933</v>
      </c>
      <c r="IT3" t="s">
        <v>1231</v>
      </c>
      <c r="IU3" t="s">
        <v>1804</v>
      </c>
      <c r="IV3">
        <v>88</v>
      </c>
      <c r="IX3" t="s">
        <v>1114</v>
      </c>
      <c r="IY3" t="s">
        <v>1809</v>
      </c>
      <c r="IZ3">
        <v>933</v>
      </c>
      <c r="JB3" t="s">
        <v>1231</v>
      </c>
      <c r="JC3" t="s">
        <v>1804</v>
      </c>
      <c r="JD3">
        <v>88</v>
      </c>
      <c r="JF3" t="s">
        <v>1180</v>
      </c>
      <c r="JG3" t="s">
        <v>1813</v>
      </c>
      <c r="JH3">
        <v>1180</v>
      </c>
      <c r="JJ3" t="s">
        <v>1231</v>
      </c>
      <c r="JK3" t="s">
        <v>1804</v>
      </c>
      <c r="JL3">
        <v>88</v>
      </c>
      <c r="JN3" t="s">
        <v>1180</v>
      </c>
      <c r="JO3" t="s">
        <v>1813</v>
      </c>
      <c r="JP3">
        <v>1180</v>
      </c>
      <c r="JR3" t="s">
        <v>1013</v>
      </c>
      <c r="JS3" t="s">
        <v>1014</v>
      </c>
      <c r="JT3">
        <v>2503</v>
      </c>
      <c r="JV3" t="s">
        <v>1017</v>
      </c>
      <c r="JW3" t="s">
        <v>1018</v>
      </c>
      <c r="JX3">
        <v>109</v>
      </c>
      <c r="JZ3" t="s">
        <v>1017</v>
      </c>
      <c r="KA3" t="s">
        <v>1018</v>
      </c>
      <c r="KB3">
        <v>109</v>
      </c>
      <c r="KD3" t="s">
        <v>1017</v>
      </c>
      <c r="KE3" t="s">
        <v>1018</v>
      </c>
      <c r="KF3">
        <v>109</v>
      </c>
      <c r="KH3" t="s">
        <v>1017</v>
      </c>
      <c r="KI3" t="s">
        <v>1018</v>
      </c>
      <c r="KJ3">
        <v>109</v>
      </c>
      <c r="KL3" t="s">
        <v>1017</v>
      </c>
      <c r="KM3" t="s">
        <v>1018</v>
      </c>
      <c r="KN3">
        <v>109</v>
      </c>
      <c r="KP3" t="s">
        <v>1194</v>
      </c>
      <c r="KQ3" t="s">
        <v>1880</v>
      </c>
      <c r="KR3">
        <v>433</v>
      </c>
      <c r="KT3" t="s">
        <v>1196</v>
      </c>
      <c r="KU3" t="s">
        <v>1881</v>
      </c>
      <c r="KV3">
        <v>0</v>
      </c>
      <c r="KX3" t="s">
        <v>1017</v>
      </c>
      <c r="KY3" t="s">
        <v>1018</v>
      </c>
      <c r="KZ3">
        <v>109</v>
      </c>
      <c r="LB3" t="s">
        <v>1231</v>
      </c>
      <c r="LC3" t="s">
        <v>1893</v>
      </c>
      <c r="LD3">
        <v>88</v>
      </c>
      <c r="LF3" t="s">
        <v>1106</v>
      </c>
      <c r="LG3" t="s">
        <v>1897</v>
      </c>
      <c r="LH3">
        <v>304</v>
      </c>
      <c r="LJ3" t="s">
        <v>1022</v>
      </c>
      <c r="LK3" t="s">
        <v>1898</v>
      </c>
      <c r="LL3">
        <v>93</v>
      </c>
      <c r="LN3" t="s">
        <v>1908</v>
      </c>
      <c r="LO3" t="s">
        <v>1901</v>
      </c>
      <c r="LP3">
        <v>2173</v>
      </c>
      <c r="LR3" t="s">
        <v>993</v>
      </c>
      <c r="LS3" t="s">
        <v>1920</v>
      </c>
      <c r="LT3">
        <v>88</v>
      </c>
      <c r="LV3" t="s">
        <v>985</v>
      </c>
      <c r="LW3" t="s">
        <v>1927</v>
      </c>
      <c r="LX3">
        <v>634</v>
      </c>
      <c r="LZ3" t="s">
        <v>880</v>
      </c>
      <c r="MA3" t="s">
        <v>1925</v>
      </c>
      <c r="MB3">
        <v>263</v>
      </c>
      <c r="MD3" t="s">
        <v>985</v>
      </c>
      <c r="ME3" t="s">
        <v>1927</v>
      </c>
      <c r="MF3">
        <v>634</v>
      </c>
      <c r="MH3" t="s">
        <v>993</v>
      </c>
      <c r="MI3" t="s">
        <v>1920</v>
      </c>
      <c r="MJ3">
        <v>88</v>
      </c>
      <c r="ML3" t="s">
        <v>993</v>
      </c>
      <c r="MM3" t="s">
        <v>1920</v>
      </c>
      <c r="MN3">
        <v>88</v>
      </c>
      <c r="MP3" t="s">
        <v>800</v>
      </c>
      <c r="MQ3" t="s">
        <v>1931</v>
      </c>
      <c r="MR3">
        <v>2148</v>
      </c>
      <c r="MT3" t="s">
        <v>802</v>
      </c>
      <c r="MU3" t="s">
        <v>803</v>
      </c>
      <c r="MV3">
        <v>2277</v>
      </c>
      <c r="MX3" t="s">
        <v>1387</v>
      </c>
      <c r="MY3" t="str">
        <f t="shared" ref="MY3:MY34" si="0">IF(ISERROR(VLOOKUP(IF(ISNUMBER(VALUE(RIGHT(LEFT(MX3,3),1))),IF(ISNUMBER(VALUE(RIGHT(LEFT(MX3,2),1))),LEFT(MX3,1),LEFT(MX3,2)),LEFT(MX3,3)),NE:NF,2,FALSE)),"",VLOOKUP(IF(ISNUMBER(VALUE(RIGHT(LEFT(MX3,3),1))),IF(ISNUMBER(VALUE(RIGHT(LEFT(MX3,2),1))),LEFT(MX3,1),LEFT(MX3,2)),LEFT(MX3,3)),NE:NF,2,FALSE))</f>
        <v>Sink Base Cabinet</v>
      </c>
      <c r="MZ3">
        <v>1339</v>
      </c>
      <c r="NA3" t="str">
        <f>IF(LEFT(MX3,1)="W",LEFT(RIGHT(MX3,4),2),IF(ISNUMBER(VALUE(RIGHT(MX3,1))),LEFT(RIGHT(MX3,7),2),LEFT(RIGHT(MX3,8),2)))</f>
        <v>24</v>
      </c>
      <c r="NB3" t="str">
        <f>IF(ISNUMBER(VALUE(RIGHT(MX3,1))),RIGHT(LEFT(RIGHT(MX3,7),4),2),LEFT(RIGHT(MX3,6),2))</f>
        <v>34</v>
      </c>
      <c r="NC3" t="str">
        <f>IF(ISNUMBER(VALUE(RIGHT(MX3,1))),RIGHT(MX3,2),LEFT(RIGHT(MX3,3),2))</f>
        <v>24</v>
      </c>
      <c r="NE3" t="s">
        <v>1962</v>
      </c>
      <c r="NF3" t="s">
        <v>1963</v>
      </c>
      <c r="NH3" t="s">
        <v>808</v>
      </c>
      <c r="NI3" t="s">
        <v>1996</v>
      </c>
      <c r="NJ3">
        <v>237</v>
      </c>
      <c r="NL3" t="s">
        <v>888</v>
      </c>
      <c r="NM3" t="s">
        <v>2000</v>
      </c>
      <c r="NN3">
        <v>1144</v>
      </c>
      <c r="NP3" t="s">
        <v>808</v>
      </c>
      <c r="NQ3" t="s">
        <v>1996</v>
      </c>
      <c r="NR3">
        <v>237</v>
      </c>
      <c r="NT3" t="s">
        <v>808</v>
      </c>
      <c r="NU3" t="s">
        <v>1996</v>
      </c>
      <c r="NV3">
        <v>237</v>
      </c>
      <c r="NX3" t="s">
        <v>112</v>
      </c>
      <c r="NY3" t="s">
        <v>1853</v>
      </c>
      <c r="NZ3">
        <v>3595</v>
      </c>
      <c r="OB3" t="s">
        <v>112</v>
      </c>
      <c r="OC3" t="s">
        <v>1853</v>
      </c>
      <c r="OD3">
        <v>3595</v>
      </c>
      <c r="OF3" t="s">
        <v>894</v>
      </c>
      <c r="OG3" t="s">
        <v>2036</v>
      </c>
      <c r="OH3">
        <v>1216</v>
      </c>
      <c r="OJ3" t="s">
        <v>935</v>
      </c>
      <c r="OK3" t="s">
        <v>2038</v>
      </c>
      <c r="OL3">
        <v>1901</v>
      </c>
      <c r="ON3" t="s">
        <v>937</v>
      </c>
      <c r="OO3" t="s">
        <v>2039</v>
      </c>
      <c r="OP3">
        <v>1484</v>
      </c>
      <c r="OR3" t="s">
        <v>937</v>
      </c>
      <c r="OS3" t="s">
        <v>2039</v>
      </c>
      <c r="OT3">
        <v>1484</v>
      </c>
      <c r="OV3" t="s">
        <v>993</v>
      </c>
      <c r="OW3" t="s">
        <v>2057</v>
      </c>
      <c r="OX3">
        <v>88</v>
      </c>
      <c r="OZ3" t="s">
        <v>874</v>
      </c>
      <c r="PA3" t="s">
        <v>2061</v>
      </c>
      <c r="PB3">
        <v>304</v>
      </c>
      <c r="PD3" t="s">
        <v>812</v>
      </c>
      <c r="PE3" t="s">
        <v>1898</v>
      </c>
      <c r="PF3">
        <v>93</v>
      </c>
      <c r="PH3" t="s">
        <v>765</v>
      </c>
      <c r="PI3" t="s">
        <v>2079</v>
      </c>
      <c r="PJ3">
        <v>191</v>
      </c>
      <c r="PL3" t="s">
        <v>763</v>
      </c>
      <c r="PM3" t="s">
        <v>2081</v>
      </c>
      <c r="PN3">
        <v>325</v>
      </c>
      <c r="PP3" t="s">
        <v>763</v>
      </c>
      <c r="PQ3" t="s">
        <v>2081</v>
      </c>
      <c r="PR3">
        <v>325</v>
      </c>
      <c r="PT3" t="s">
        <v>781</v>
      </c>
      <c r="PU3" t="s">
        <v>2087</v>
      </c>
      <c r="PV3">
        <v>263</v>
      </c>
      <c r="PX3" t="s">
        <v>763</v>
      </c>
      <c r="PY3" t="s">
        <v>2081</v>
      </c>
      <c r="PZ3">
        <v>325</v>
      </c>
      <c r="QB3" t="s">
        <v>763</v>
      </c>
      <c r="QC3" t="s">
        <v>2081</v>
      </c>
      <c r="QD3">
        <v>325</v>
      </c>
      <c r="QF3" t="s">
        <v>775</v>
      </c>
      <c r="QG3" t="s">
        <v>2281</v>
      </c>
      <c r="QH3">
        <v>0</v>
      </c>
      <c r="QJ3" t="s">
        <v>775</v>
      </c>
      <c r="QK3" t="s">
        <v>2281</v>
      </c>
      <c r="QL3">
        <v>0</v>
      </c>
      <c r="QN3" t="s">
        <v>789</v>
      </c>
      <c r="QO3" t="s">
        <v>1897</v>
      </c>
      <c r="QP3">
        <v>315</v>
      </c>
      <c r="QR3" t="s">
        <v>789</v>
      </c>
      <c r="QS3" t="s">
        <v>1897</v>
      </c>
      <c r="QT3">
        <v>315</v>
      </c>
      <c r="QV3" t="s">
        <v>769</v>
      </c>
      <c r="QW3" t="s">
        <v>2297</v>
      </c>
      <c r="QX3">
        <v>88</v>
      </c>
      <c r="QZ3" t="s">
        <v>771</v>
      </c>
      <c r="RA3" t="s">
        <v>2308</v>
      </c>
      <c r="RB3">
        <v>469</v>
      </c>
      <c r="RD3" t="s">
        <v>658</v>
      </c>
      <c r="RE3" t="s">
        <v>2328</v>
      </c>
      <c r="RF3">
        <v>273</v>
      </c>
      <c r="RH3" t="s">
        <v>658</v>
      </c>
      <c r="RI3" t="s">
        <v>2328</v>
      </c>
      <c r="RJ3">
        <v>273</v>
      </c>
      <c r="RL3" t="s">
        <v>658</v>
      </c>
      <c r="RM3" t="s">
        <v>2328</v>
      </c>
      <c r="RN3">
        <v>273</v>
      </c>
      <c r="RP3" t="s">
        <v>658</v>
      </c>
      <c r="RQ3" t="s">
        <v>2328</v>
      </c>
      <c r="RR3">
        <v>273</v>
      </c>
      <c r="RT3" t="s">
        <v>658</v>
      </c>
      <c r="RU3" t="s">
        <v>2328</v>
      </c>
      <c r="RV3">
        <v>273</v>
      </c>
      <c r="RX3" t="s">
        <v>658</v>
      </c>
      <c r="RY3" t="s">
        <v>2328</v>
      </c>
      <c r="RZ3">
        <v>273</v>
      </c>
      <c r="SB3" t="s">
        <v>658</v>
      </c>
      <c r="SC3" t="s">
        <v>2328</v>
      </c>
      <c r="SD3">
        <v>273</v>
      </c>
      <c r="SF3" t="s">
        <v>658</v>
      </c>
      <c r="SG3" t="s">
        <v>2328</v>
      </c>
      <c r="SH3">
        <v>273</v>
      </c>
      <c r="SJ3" t="s">
        <v>658</v>
      </c>
      <c r="SK3" t="s">
        <v>2328</v>
      </c>
      <c r="SL3">
        <v>273</v>
      </c>
      <c r="SN3" t="s">
        <v>658</v>
      </c>
      <c r="SO3" t="s">
        <v>2328</v>
      </c>
      <c r="SP3">
        <v>273</v>
      </c>
      <c r="SR3" t="s">
        <v>658</v>
      </c>
      <c r="SS3" t="s">
        <v>2328</v>
      </c>
      <c r="ST3">
        <v>273</v>
      </c>
      <c r="SV3" t="s">
        <v>658</v>
      </c>
      <c r="SW3" t="s">
        <v>2328</v>
      </c>
      <c r="SX3">
        <v>273</v>
      </c>
      <c r="SZ3" t="s">
        <v>658</v>
      </c>
      <c r="TA3" t="s">
        <v>2328</v>
      </c>
      <c r="TB3">
        <v>273</v>
      </c>
      <c r="TD3" t="s">
        <v>658</v>
      </c>
      <c r="TE3" t="s">
        <v>2328</v>
      </c>
      <c r="TF3">
        <v>273</v>
      </c>
      <c r="TH3" t="s">
        <v>658</v>
      </c>
      <c r="TI3" t="s">
        <v>2328</v>
      </c>
      <c r="TJ3">
        <v>273</v>
      </c>
      <c r="TL3" t="s">
        <v>658</v>
      </c>
      <c r="TM3" t="s">
        <v>2328</v>
      </c>
      <c r="TN3">
        <v>273</v>
      </c>
      <c r="TP3" t="s">
        <v>440</v>
      </c>
      <c r="TQ3" t="s">
        <v>2348</v>
      </c>
      <c r="TR3">
        <v>263</v>
      </c>
      <c r="TT3" t="s">
        <v>440</v>
      </c>
      <c r="TU3" t="s">
        <v>2348</v>
      </c>
      <c r="TV3">
        <v>263</v>
      </c>
      <c r="TX3" t="s">
        <v>440</v>
      </c>
      <c r="TY3" t="s">
        <v>2348</v>
      </c>
      <c r="TZ3">
        <v>263</v>
      </c>
      <c r="UB3" t="s">
        <v>440</v>
      </c>
      <c r="UC3" t="s">
        <v>2348</v>
      </c>
      <c r="UD3">
        <v>263</v>
      </c>
      <c r="UF3" t="s">
        <v>442</v>
      </c>
      <c r="UG3" t="s">
        <v>2349</v>
      </c>
      <c r="UH3">
        <v>-191</v>
      </c>
      <c r="UJ3" t="s">
        <v>440</v>
      </c>
      <c r="UK3" t="s">
        <v>2348</v>
      </c>
      <c r="UL3">
        <v>263</v>
      </c>
      <c r="UN3" t="s">
        <v>440</v>
      </c>
      <c r="UO3" t="s">
        <v>2348</v>
      </c>
      <c r="UP3">
        <v>263</v>
      </c>
      <c r="UR3" t="s">
        <v>440</v>
      </c>
      <c r="US3" t="s">
        <v>2348</v>
      </c>
      <c r="UT3">
        <v>263</v>
      </c>
      <c r="UV3" t="s">
        <v>442</v>
      </c>
      <c r="UW3" t="s">
        <v>2349</v>
      </c>
      <c r="UX3">
        <v>-191</v>
      </c>
      <c r="UZ3" t="s">
        <v>442</v>
      </c>
      <c r="VA3" t="s">
        <v>2349</v>
      </c>
      <c r="VB3">
        <v>-191</v>
      </c>
      <c r="VD3" t="s">
        <v>518</v>
      </c>
      <c r="VE3" t="s">
        <v>2380</v>
      </c>
      <c r="VF3">
        <v>52</v>
      </c>
      <c r="VH3" t="s">
        <v>520</v>
      </c>
      <c r="VI3" t="s">
        <v>2380</v>
      </c>
      <c r="VJ3">
        <v>62</v>
      </c>
      <c r="VL3" t="s">
        <v>598</v>
      </c>
      <c r="VM3" t="s">
        <v>2381</v>
      </c>
      <c r="VN3">
        <v>258</v>
      </c>
      <c r="VP3" t="s">
        <v>598</v>
      </c>
      <c r="VQ3" t="s">
        <v>2381</v>
      </c>
      <c r="VR3">
        <v>258</v>
      </c>
      <c r="VT3" t="s">
        <v>748</v>
      </c>
      <c r="VU3" t="s">
        <v>2292</v>
      </c>
      <c r="VV3">
        <v>109</v>
      </c>
      <c r="VX3" t="s">
        <v>748</v>
      </c>
      <c r="VY3" t="s">
        <v>2292</v>
      </c>
      <c r="VZ3">
        <v>109</v>
      </c>
      <c r="WB3" t="s">
        <v>440</v>
      </c>
      <c r="WC3" t="s">
        <v>2390</v>
      </c>
      <c r="WD3">
        <v>263</v>
      </c>
      <c r="WF3" t="s">
        <v>748</v>
      </c>
      <c r="WG3" t="s">
        <v>2394</v>
      </c>
      <c r="WH3">
        <v>109</v>
      </c>
      <c r="WJ3" t="s">
        <v>748</v>
      </c>
      <c r="WK3" t="s">
        <v>2394</v>
      </c>
      <c r="WL3">
        <v>109</v>
      </c>
      <c r="WN3" t="s">
        <v>748</v>
      </c>
      <c r="WO3" t="s">
        <v>2394</v>
      </c>
      <c r="WP3">
        <v>109</v>
      </c>
      <c r="WR3" t="s">
        <v>748</v>
      </c>
      <c r="WS3" t="s">
        <v>2394</v>
      </c>
      <c r="WT3">
        <v>109</v>
      </c>
      <c r="WV3" t="s">
        <v>560</v>
      </c>
      <c r="WW3" t="s">
        <v>2398</v>
      </c>
      <c r="WX3">
        <v>103</v>
      </c>
      <c r="WZ3" t="s">
        <v>560</v>
      </c>
      <c r="XA3" t="s">
        <v>2398</v>
      </c>
      <c r="XB3">
        <v>103</v>
      </c>
      <c r="XD3" t="s">
        <v>560</v>
      </c>
      <c r="XE3" t="s">
        <v>2398</v>
      </c>
      <c r="XF3">
        <v>103</v>
      </c>
      <c r="XH3" t="s">
        <v>560</v>
      </c>
      <c r="XI3" t="s">
        <v>2398</v>
      </c>
      <c r="XJ3">
        <v>103</v>
      </c>
      <c r="XL3" t="s">
        <v>560</v>
      </c>
      <c r="XM3" t="s">
        <v>2398</v>
      </c>
      <c r="XN3">
        <v>103</v>
      </c>
      <c r="XP3" t="s">
        <v>560</v>
      </c>
      <c r="XQ3" t="s">
        <v>2398</v>
      </c>
      <c r="XR3">
        <v>103</v>
      </c>
      <c r="XT3" t="s">
        <v>560</v>
      </c>
      <c r="XU3" t="s">
        <v>2398</v>
      </c>
      <c r="XV3">
        <v>103</v>
      </c>
      <c r="XX3" t="s">
        <v>577</v>
      </c>
      <c r="XY3" t="s">
        <v>2407</v>
      </c>
      <c r="XZ3">
        <v>52</v>
      </c>
      <c r="YB3" t="s">
        <v>577</v>
      </c>
      <c r="YC3" t="s">
        <v>2407</v>
      </c>
      <c r="YD3">
        <v>52</v>
      </c>
      <c r="YF3" t="s">
        <v>577</v>
      </c>
      <c r="YG3" t="s">
        <v>2407</v>
      </c>
      <c r="YH3">
        <v>52</v>
      </c>
      <c r="YJ3" t="s">
        <v>579</v>
      </c>
      <c r="YK3" t="s">
        <v>2412</v>
      </c>
      <c r="YL3">
        <v>52</v>
      </c>
      <c r="YN3" t="s">
        <v>579</v>
      </c>
      <c r="YO3" t="s">
        <v>2412</v>
      </c>
      <c r="YP3">
        <v>52</v>
      </c>
      <c r="YR3" t="s">
        <v>578</v>
      </c>
      <c r="YS3" t="s">
        <v>2412</v>
      </c>
      <c r="YT3">
        <v>52</v>
      </c>
      <c r="YV3" t="s">
        <v>578</v>
      </c>
      <c r="YW3" t="s">
        <v>2412</v>
      </c>
      <c r="YX3">
        <v>52</v>
      </c>
      <c r="YZ3" t="s">
        <v>578</v>
      </c>
      <c r="ZA3" t="s">
        <v>2412</v>
      </c>
      <c r="ZB3">
        <v>52</v>
      </c>
      <c r="ZD3" t="s">
        <v>2413</v>
      </c>
      <c r="ZE3" t="s">
        <v>2412</v>
      </c>
      <c r="ZF3">
        <v>52</v>
      </c>
      <c r="ZH3" t="s">
        <v>2413</v>
      </c>
      <c r="ZI3" t="s">
        <v>2412</v>
      </c>
      <c r="ZJ3">
        <v>52</v>
      </c>
      <c r="ZL3" t="s">
        <v>2414</v>
      </c>
      <c r="ZM3" t="s">
        <v>2412</v>
      </c>
      <c r="ZN3">
        <v>52</v>
      </c>
      <c r="ZP3" t="s">
        <v>2414</v>
      </c>
      <c r="ZQ3" t="s">
        <v>2412</v>
      </c>
      <c r="ZR3">
        <v>52</v>
      </c>
      <c r="ZT3" t="s">
        <v>2414</v>
      </c>
      <c r="ZU3" t="s">
        <v>2412</v>
      </c>
      <c r="ZV3">
        <v>52</v>
      </c>
      <c r="ZX3" t="s">
        <v>574</v>
      </c>
      <c r="ZY3" t="s">
        <v>2377</v>
      </c>
      <c r="ZZ3">
        <v>52</v>
      </c>
      <c r="AAB3" t="s">
        <v>574</v>
      </c>
      <c r="AAC3" t="s">
        <v>2377</v>
      </c>
      <c r="AAD3">
        <v>52</v>
      </c>
      <c r="AAF3" t="s">
        <v>574</v>
      </c>
      <c r="AAG3" t="s">
        <v>2377</v>
      </c>
      <c r="AAH3">
        <v>52</v>
      </c>
      <c r="AAJ3" t="s">
        <v>576</v>
      </c>
      <c r="AAK3" t="s">
        <v>2377</v>
      </c>
      <c r="AAL3">
        <v>52</v>
      </c>
      <c r="AAN3" t="s">
        <v>576</v>
      </c>
      <c r="AAO3" t="s">
        <v>2377</v>
      </c>
      <c r="AAP3">
        <v>52</v>
      </c>
      <c r="AAR3" t="s">
        <v>576</v>
      </c>
      <c r="AAS3" t="s">
        <v>2377</v>
      </c>
      <c r="AAT3">
        <v>52</v>
      </c>
      <c r="AAV3" t="s">
        <v>576</v>
      </c>
      <c r="AAW3" t="s">
        <v>2377</v>
      </c>
      <c r="AAX3">
        <v>52</v>
      </c>
      <c r="AAZ3" t="s">
        <v>577</v>
      </c>
      <c r="ABA3" t="s">
        <v>2377</v>
      </c>
      <c r="ABB3">
        <v>52</v>
      </c>
      <c r="ABD3" t="s">
        <v>598</v>
      </c>
      <c r="ABE3" t="s">
        <v>2381</v>
      </c>
      <c r="ABF3">
        <v>258</v>
      </c>
    </row>
    <row r="4" spans="1:734">
      <c r="A4" t="s">
        <v>542</v>
      </c>
      <c r="B4" t="s">
        <v>1597</v>
      </c>
      <c r="C4">
        <v>541</v>
      </c>
      <c r="E4" s="38" t="s">
        <v>1503</v>
      </c>
      <c r="G4" s="47" t="s">
        <v>339</v>
      </c>
      <c r="H4" s="138"/>
      <c r="I4" s="148" t="s">
        <v>16</v>
      </c>
      <c r="J4" s="164"/>
      <c r="K4" s="161" t="s">
        <v>1718</v>
      </c>
      <c r="L4" s="164"/>
      <c r="M4" s="162" t="s">
        <v>26</v>
      </c>
      <c r="N4" s="166"/>
      <c r="O4" s="154" t="s">
        <v>86</v>
      </c>
      <c r="P4" s="164"/>
      <c r="Q4" s="149" t="s">
        <v>229</v>
      </c>
      <c r="S4" s="51" t="s">
        <v>408</v>
      </c>
      <c r="Y4" t="s">
        <v>542</v>
      </c>
      <c r="Z4" t="s">
        <v>1597</v>
      </c>
      <c r="AA4">
        <v>541</v>
      </c>
      <c r="AC4" t="s">
        <v>538</v>
      </c>
      <c r="AD4" t="s">
        <v>1606</v>
      </c>
      <c r="AE4">
        <v>541</v>
      </c>
      <c r="AG4" t="s">
        <v>1603</v>
      </c>
      <c r="AH4" t="s">
        <v>1610</v>
      </c>
      <c r="AI4">
        <v>191</v>
      </c>
      <c r="BV4" t="s">
        <v>586</v>
      </c>
      <c r="BW4" t="s">
        <v>1639</v>
      </c>
      <c r="BX4">
        <v>1092</v>
      </c>
      <c r="BZ4" t="s">
        <v>582</v>
      </c>
      <c r="CA4" t="s">
        <v>583</v>
      </c>
      <c r="CB4">
        <v>26</v>
      </c>
      <c r="CD4" t="s">
        <v>421</v>
      </c>
      <c r="CE4" t="s">
        <v>422</v>
      </c>
      <c r="CF4">
        <v>1365</v>
      </c>
      <c r="CH4" t="s">
        <v>421</v>
      </c>
      <c r="CI4" t="s">
        <v>422</v>
      </c>
      <c r="CJ4">
        <v>1365</v>
      </c>
      <c r="CL4" t="s">
        <v>421</v>
      </c>
      <c r="CM4" t="s">
        <v>422</v>
      </c>
      <c r="CN4">
        <v>1365</v>
      </c>
      <c r="CP4" t="s">
        <v>418</v>
      </c>
      <c r="CQ4" t="s">
        <v>418</v>
      </c>
      <c r="CR4">
        <v>624</v>
      </c>
      <c r="CT4" t="s">
        <v>418</v>
      </c>
      <c r="CU4" t="s">
        <v>418</v>
      </c>
      <c r="CV4">
        <v>624</v>
      </c>
      <c r="CX4" t="s">
        <v>418</v>
      </c>
      <c r="CY4" t="s">
        <v>418</v>
      </c>
      <c r="CZ4">
        <v>624</v>
      </c>
      <c r="DB4" t="s">
        <v>247</v>
      </c>
      <c r="DC4" t="s">
        <v>1666</v>
      </c>
      <c r="DD4">
        <v>1412</v>
      </c>
      <c r="DF4" t="s">
        <v>247</v>
      </c>
      <c r="DG4" t="s">
        <v>1666</v>
      </c>
      <c r="DH4">
        <v>1412</v>
      </c>
      <c r="DJ4" t="s">
        <v>247</v>
      </c>
      <c r="DK4" t="s">
        <v>1666</v>
      </c>
      <c r="DL4">
        <v>1412</v>
      </c>
      <c r="DN4" t="s">
        <v>247</v>
      </c>
      <c r="DO4" t="s">
        <v>1666</v>
      </c>
      <c r="DP4">
        <v>1412</v>
      </c>
      <c r="DR4" t="s">
        <v>247</v>
      </c>
      <c r="DS4" t="s">
        <v>1666</v>
      </c>
      <c r="DT4">
        <v>1412</v>
      </c>
      <c r="DV4" t="s">
        <v>1679</v>
      </c>
      <c r="DW4" t="s">
        <v>1680</v>
      </c>
      <c r="DX4">
        <v>284</v>
      </c>
      <c r="DZ4" t="s">
        <v>1679</v>
      </c>
      <c r="EA4" t="s">
        <v>1680</v>
      </c>
      <c r="EB4">
        <v>284</v>
      </c>
      <c r="ED4" t="s">
        <v>1679</v>
      </c>
      <c r="EE4" t="s">
        <v>1695</v>
      </c>
      <c r="EF4">
        <v>284</v>
      </c>
      <c r="EH4" t="s">
        <v>1679</v>
      </c>
      <c r="EI4" t="s">
        <v>1680</v>
      </c>
      <c r="EJ4">
        <v>284</v>
      </c>
      <c r="EL4" t="s">
        <v>1679</v>
      </c>
      <c r="EM4" t="s">
        <v>1680</v>
      </c>
      <c r="EN4">
        <v>284</v>
      </c>
      <c r="EP4" t="s">
        <v>1679</v>
      </c>
      <c r="EQ4" t="s">
        <v>1680</v>
      </c>
      <c r="ER4">
        <v>284</v>
      </c>
      <c r="ET4">
        <v>84600004</v>
      </c>
      <c r="EU4" t="s">
        <v>1698</v>
      </c>
      <c r="EV4">
        <v>67</v>
      </c>
      <c r="EX4">
        <v>84600004</v>
      </c>
      <c r="EY4" t="s">
        <v>1698</v>
      </c>
      <c r="EZ4">
        <v>67</v>
      </c>
      <c r="FB4">
        <v>84600004</v>
      </c>
      <c r="FC4" t="s">
        <v>1698</v>
      </c>
      <c r="FD4">
        <v>67</v>
      </c>
      <c r="FF4">
        <v>84600004</v>
      </c>
      <c r="FG4" t="s">
        <v>1698</v>
      </c>
      <c r="FH4">
        <v>67</v>
      </c>
      <c r="FJ4">
        <v>84600004</v>
      </c>
      <c r="FK4" t="s">
        <v>1698</v>
      </c>
      <c r="FL4">
        <v>67</v>
      </c>
      <c r="FN4">
        <v>84600004</v>
      </c>
      <c r="FO4" t="s">
        <v>1698</v>
      </c>
      <c r="FP4">
        <v>67</v>
      </c>
      <c r="FR4">
        <v>84600004</v>
      </c>
      <c r="FS4" t="s">
        <v>1698</v>
      </c>
      <c r="FT4">
        <v>67</v>
      </c>
      <c r="FV4">
        <v>84600004</v>
      </c>
      <c r="FW4" t="s">
        <v>1698</v>
      </c>
      <c r="FX4">
        <v>67</v>
      </c>
      <c r="FZ4">
        <v>84600004</v>
      </c>
      <c r="GA4" t="s">
        <v>1698</v>
      </c>
      <c r="GB4">
        <v>67</v>
      </c>
      <c r="GD4">
        <v>84600004</v>
      </c>
      <c r="GE4" t="s">
        <v>1698</v>
      </c>
      <c r="GF4">
        <v>67</v>
      </c>
      <c r="GH4">
        <v>84600004</v>
      </c>
      <c r="GI4" t="s">
        <v>1698</v>
      </c>
      <c r="GJ4">
        <v>67</v>
      </c>
      <c r="GL4">
        <v>84600004</v>
      </c>
      <c r="GM4" t="s">
        <v>1698</v>
      </c>
      <c r="GN4">
        <v>67</v>
      </c>
      <c r="GP4">
        <v>84600004</v>
      </c>
      <c r="GQ4" t="s">
        <v>1698</v>
      </c>
      <c r="GR4">
        <v>67</v>
      </c>
      <c r="GT4">
        <v>84600004</v>
      </c>
      <c r="GU4" t="s">
        <v>1698</v>
      </c>
      <c r="GV4">
        <v>67</v>
      </c>
      <c r="GX4">
        <v>84600004</v>
      </c>
      <c r="GY4" t="s">
        <v>1698</v>
      </c>
      <c r="GZ4">
        <v>67</v>
      </c>
      <c r="HB4">
        <v>84600004</v>
      </c>
      <c r="HC4" t="s">
        <v>1698</v>
      </c>
      <c r="HD4">
        <v>67</v>
      </c>
      <c r="HF4">
        <v>84600004</v>
      </c>
      <c r="HG4" t="s">
        <v>1698</v>
      </c>
      <c r="HH4">
        <v>67</v>
      </c>
      <c r="HJ4">
        <v>84600004</v>
      </c>
      <c r="HK4" t="s">
        <v>1698</v>
      </c>
      <c r="HL4">
        <v>67</v>
      </c>
      <c r="HN4">
        <v>84600004</v>
      </c>
      <c r="HO4" t="s">
        <v>1698</v>
      </c>
      <c r="HP4">
        <v>67</v>
      </c>
      <c r="HR4" t="s">
        <v>1027</v>
      </c>
      <c r="HS4" t="s">
        <v>1782</v>
      </c>
      <c r="HT4">
        <v>2014</v>
      </c>
      <c r="HV4" t="s">
        <v>1027</v>
      </c>
      <c r="HW4" t="s">
        <v>1782</v>
      </c>
      <c r="HX4">
        <v>2014</v>
      </c>
      <c r="HZ4" t="s">
        <v>1225</v>
      </c>
      <c r="IA4" t="s">
        <v>1799</v>
      </c>
      <c r="IB4">
        <v>742</v>
      </c>
      <c r="ID4" t="s">
        <v>1135</v>
      </c>
      <c r="IE4" t="s">
        <v>1796</v>
      </c>
      <c r="IF4">
        <v>433</v>
      </c>
      <c r="IH4" t="s">
        <v>1216</v>
      </c>
      <c r="II4" t="s">
        <v>1217</v>
      </c>
      <c r="IJ4">
        <v>62</v>
      </c>
      <c r="IL4" t="s">
        <v>1031</v>
      </c>
      <c r="IM4" t="s">
        <v>1805</v>
      </c>
      <c r="IN4">
        <v>232</v>
      </c>
      <c r="IP4" t="s">
        <v>1139</v>
      </c>
      <c r="IQ4" t="s">
        <v>1811</v>
      </c>
      <c r="IR4">
        <v>1633</v>
      </c>
      <c r="IT4" t="s">
        <v>1031</v>
      </c>
      <c r="IU4" t="s">
        <v>1805</v>
      </c>
      <c r="IV4">
        <v>232</v>
      </c>
      <c r="IX4" t="s">
        <v>1139</v>
      </c>
      <c r="IY4" t="s">
        <v>1811</v>
      </c>
      <c r="IZ4">
        <v>1633</v>
      </c>
      <c r="JB4" t="s">
        <v>1031</v>
      </c>
      <c r="JC4" t="s">
        <v>1805</v>
      </c>
      <c r="JD4">
        <v>232</v>
      </c>
      <c r="JF4" t="s">
        <v>1164</v>
      </c>
      <c r="JG4" t="s">
        <v>1815</v>
      </c>
      <c r="JH4">
        <v>2019</v>
      </c>
      <c r="JJ4" t="s">
        <v>1031</v>
      </c>
      <c r="JK4" t="s">
        <v>1805</v>
      </c>
      <c r="JL4">
        <v>232</v>
      </c>
      <c r="JN4" t="s">
        <v>1164</v>
      </c>
      <c r="JO4" t="s">
        <v>1815</v>
      </c>
      <c r="JP4">
        <v>2019</v>
      </c>
      <c r="JR4" t="s">
        <v>1015</v>
      </c>
      <c r="JS4" t="s">
        <v>1816</v>
      </c>
      <c r="JT4">
        <v>1911</v>
      </c>
      <c r="JV4" t="s">
        <v>1019</v>
      </c>
      <c r="JW4" t="s">
        <v>1842</v>
      </c>
      <c r="JX4">
        <v>335</v>
      </c>
      <c r="JZ4" t="s">
        <v>1019</v>
      </c>
      <c r="KA4" t="s">
        <v>1842</v>
      </c>
      <c r="KB4">
        <v>335</v>
      </c>
      <c r="KD4" t="s">
        <v>1019</v>
      </c>
      <c r="KE4" t="s">
        <v>1842</v>
      </c>
      <c r="KF4">
        <v>335</v>
      </c>
      <c r="KH4" t="s">
        <v>1019</v>
      </c>
      <c r="KI4" t="s">
        <v>1842</v>
      </c>
      <c r="KJ4">
        <v>335</v>
      </c>
      <c r="KL4" t="s">
        <v>1019</v>
      </c>
      <c r="KM4" t="s">
        <v>1842</v>
      </c>
      <c r="KN4">
        <v>335</v>
      </c>
      <c r="KP4" t="s">
        <v>1017</v>
      </c>
      <c r="KQ4" t="s">
        <v>1018</v>
      </c>
      <c r="KR4">
        <v>109</v>
      </c>
      <c r="KT4" t="s">
        <v>1194</v>
      </c>
      <c r="KU4" t="s">
        <v>1880</v>
      </c>
      <c r="KV4">
        <v>433</v>
      </c>
      <c r="KX4" t="s">
        <v>1019</v>
      </c>
      <c r="KY4" t="s">
        <v>1842</v>
      </c>
      <c r="KZ4">
        <v>335</v>
      </c>
      <c r="LB4" t="s">
        <v>1198</v>
      </c>
      <c r="LC4" t="s">
        <v>1786</v>
      </c>
      <c r="LD4">
        <v>325</v>
      </c>
      <c r="LF4" t="s">
        <v>1129</v>
      </c>
      <c r="LG4" t="s">
        <v>1895</v>
      </c>
      <c r="LH4">
        <v>387</v>
      </c>
      <c r="LJ4" t="s">
        <v>1023</v>
      </c>
      <c r="LK4" t="s">
        <v>1899</v>
      </c>
      <c r="LL4">
        <v>143</v>
      </c>
      <c r="LN4" t="s">
        <v>1909</v>
      </c>
      <c r="LO4" t="s">
        <v>1902</v>
      </c>
      <c r="LP4">
        <v>3348</v>
      </c>
      <c r="LR4" t="s">
        <v>818</v>
      </c>
      <c r="LS4" t="s">
        <v>1921</v>
      </c>
      <c r="LT4">
        <v>1798</v>
      </c>
      <c r="LV4" t="s">
        <v>987</v>
      </c>
      <c r="LW4" t="s">
        <v>1928</v>
      </c>
      <c r="LX4">
        <v>546</v>
      </c>
      <c r="LZ4" t="s">
        <v>904</v>
      </c>
      <c r="MA4" t="s">
        <v>1926</v>
      </c>
      <c r="MB4">
        <v>433</v>
      </c>
      <c r="MD4" t="s">
        <v>987</v>
      </c>
      <c r="ME4" t="s">
        <v>1928</v>
      </c>
      <c r="MF4">
        <v>546</v>
      </c>
      <c r="MH4" t="s">
        <v>822</v>
      </c>
      <c r="MI4" t="s">
        <v>1929</v>
      </c>
      <c r="MJ4">
        <v>232</v>
      </c>
      <c r="ML4" t="s">
        <v>822</v>
      </c>
      <c r="MM4" t="s">
        <v>1929</v>
      </c>
      <c r="MN4">
        <v>232</v>
      </c>
      <c r="MP4" t="s">
        <v>804</v>
      </c>
      <c r="MQ4" t="s">
        <v>1932</v>
      </c>
      <c r="MR4">
        <v>1911</v>
      </c>
      <c r="MT4" t="s">
        <v>806</v>
      </c>
      <c r="MU4" t="s">
        <v>1933</v>
      </c>
      <c r="MV4">
        <v>2040</v>
      </c>
      <c r="MX4" t="s">
        <v>1391</v>
      </c>
      <c r="MY4" t="str">
        <f t="shared" si="0"/>
        <v>Sink Base Cabinet</v>
      </c>
      <c r="MZ4">
        <v>1370</v>
      </c>
      <c r="NA4" t="str">
        <f t="shared" ref="NA4:NA67" si="1">IF(LEFT(MX4,1)="W",LEFT(RIGHT(MX4,4),2),IF(ISNUMBER(VALUE(RIGHT(MX4,1))),LEFT(RIGHT(MX4,7),2),LEFT(RIGHT(MX4,8),2)))</f>
        <v>28</v>
      </c>
      <c r="NB4" t="str">
        <f t="shared" ref="NB4:NB57" si="2">IF(ISNUMBER(VALUE(RIGHT(MX4,1))),RIGHT(LEFT(RIGHT(MX4,7),4),2),LEFT(RIGHT(MX4,6),2))</f>
        <v>34</v>
      </c>
      <c r="NC4" t="str">
        <f t="shared" ref="NC4:NC57" si="3">IF(ISNUMBER(VALUE(RIGHT(MX4,1))),RIGHT(MX4,2),LEFT(RIGHT(MX4,3),2))</f>
        <v>24</v>
      </c>
      <c r="NE4" t="s">
        <v>1964</v>
      </c>
      <c r="NF4" t="s">
        <v>1965</v>
      </c>
      <c r="NH4" t="s">
        <v>810</v>
      </c>
      <c r="NI4" t="s">
        <v>811</v>
      </c>
      <c r="NJ4">
        <v>52</v>
      </c>
      <c r="NL4" t="s">
        <v>912</v>
      </c>
      <c r="NM4" t="s">
        <v>2001</v>
      </c>
      <c r="NN4">
        <v>1396</v>
      </c>
      <c r="NP4" t="s">
        <v>1009</v>
      </c>
      <c r="NQ4" t="s">
        <v>2002</v>
      </c>
      <c r="NR4">
        <v>361</v>
      </c>
      <c r="NT4" t="s">
        <v>1009</v>
      </c>
      <c r="NU4" t="s">
        <v>2002</v>
      </c>
      <c r="NV4">
        <v>361</v>
      </c>
      <c r="NX4" t="s">
        <v>114</v>
      </c>
      <c r="NY4" t="s">
        <v>1854</v>
      </c>
      <c r="NZ4">
        <v>2488</v>
      </c>
      <c r="OB4" t="s">
        <v>114</v>
      </c>
      <c r="OC4" t="s">
        <v>1854</v>
      </c>
      <c r="OD4">
        <v>2488</v>
      </c>
      <c r="OF4" t="s">
        <v>918</v>
      </c>
      <c r="OG4" t="s">
        <v>2035</v>
      </c>
      <c r="OH4">
        <v>1834</v>
      </c>
      <c r="OJ4" t="s">
        <v>939</v>
      </c>
      <c r="OK4" t="s">
        <v>2037</v>
      </c>
      <c r="OL4">
        <v>3219</v>
      </c>
      <c r="ON4" t="s">
        <v>941</v>
      </c>
      <c r="OO4" t="s">
        <v>2040</v>
      </c>
      <c r="OP4">
        <v>2431</v>
      </c>
      <c r="OR4" t="s">
        <v>941</v>
      </c>
      <c r="OS4" t="s">
        <v>2040</v>
      </c>
      <c r="OT4">
        <v>2431</v>
      </c>
      <c r="OV4" t="s">
        <v>971</v>
      </c>
      <c r="OW4" t="s">
        <v>972</v>
      </c>
      <c r="OX4">
        <v>0</v>
      </c>
      <c r="OZ4" t="s">
        <v>900</v>
      </c>
      <c r="PA4" t="s">
        <v>2062</v>
      </c>
      <c r="PB4">
        <v>387</v>
      </c>
      <c r="PD4" t="s">
        <v>814</v>
      </c>
      <c r="PE4" t="s">
        <v>1899</v>
      </c>
      <c r="PF4">
        <v>346</v>
      </c>
      <c r="PH4" t="s">
        <v>767</v>
      </c>
      <c r="PI4" t="s">
        <v>2080</v>
      </c>
      <c r="PJ4">
        <v>1118</v>
      </c>
      <c r="PL4" t="s">
        <v>761</v>
      </c>
      <c r="PM4" t="s">
        <v>2082</v>
      </c>
      <c r="PN4">
        <v>433</v>
      </c>
      <c r="PP4" t="s">
        <v>761</v>
      </c>
      <c r="PQ4" t="s">
        <v>2082</v>
      </c>
      <c r="PR4">
        <v>433</v>
      </c>
      <c r="PX4" t="s">
        <v>761</v>
      </c>
      <c r="PY4" t="s">
        <v>2082</v>
      </c>
      <c r="PZ4">
        <v>433</v>
      </c>
      <c r="QB4" t="s">
        <v>761</v>
      </c>
      <c r="QC4" t="s">
        <v>2082</v>
      </c>
      <c r="QD4">
        <v>433</v>
      </c>
      <c r="QF4" t="s">
        <v>773</v>
      </c>
      <c r="QG4" t="s">
        <v>2282</v>
      </c>
      <c r="QH4">
        <v>289</v>
      </c>
      <c r="QJ4" t="s">
        <v>773</v>
      </c>
      <c r="QK4" t="s">
        <v>2282</v>
      </c>
      <c r="QL4">
        <v>289</v>
      </c>
      <c r="QV4" t="s">
        <v>771</v>
      </c>
      <c r="QW4" t="s">
        <v>2298</v>
      </c>
      <c r="QX4">
        <v>469</v>
      </c>
      <c r="QZ4" t="s">
        <v>756</v>
      </c>
      <c r="RA4" t="s">
        <v>2301</v>
      </c>
      <c r="RB4">
        <v>0</v>
      </c>
      <c r="RD4" t="s">
        <v>660</v>
      </c>
      <c r="RE4" t="s">
        <v>2329</v>
      </c>
      <c r="RF4">
        <v>170</v>
      </c>
      <c r="RH4" t="s">
        <v>660</v>
      </c>
      <c r="RI4" t="s">
        <v>2329</v>
      </c>
      <c r="RJ4">
        <v>170</v>
      </c>
      <c r="RL4" t="s">
        <v>660</v>
      </c>
      <c r="RM4" t="s">
        <v>2329</v>
      </c>
      <c r="RN4">
        <v>170</v>
      </c>
      <c r="RP4" t="s">
        <v>660</v>
      </c>
      <c r="RQ4" t="s">
        <v>2329</v>
      </c>
      <c r="RR4">
        <v>170</v>
      </c>
      <c r="RT4" t="s">
        <v>660</v>
      </c>
      <c r="RU4" t="s">
        <v>2329</v>
      </c>
      <c r="RV4">
        <v>170</v>
      </c>
      <c r="RX4" t="s">
        <v>660</v>
      </c>
      <c r="RY4" t="s">
        <v>2329</v>
      </c>
      <c r="RZ4">
        <v>170</v>
      </c>
      <c r="SB4" t="s">
        <v>660</v>
      </c>
      <c r="SC4" t="s">
        <v>2329</v>
      </c>
      <c r="SD4">
        <v>170</v>
      </c>
      <c r="SF4" t="s">
        <v>660</v>
      </c>
      <c r="SG4" t="s">
        <v>2329</v>
      </c>
      <c r="SH4">
        <v>170</v>
      </c>
      <c r="SJ4" t="s">
        <v>660</v>
      </c>
      <c r="SK4" t="s">
        <v>2329</v>
      </c>
      <c r="SL4">
        <v>170</v>
      </c>
      <c r="SN4" t="s">
        <v>660</v>
      </c>
      <c r="SO4" t="s">
        <v>2329</v>
      </c>
      <c r="SP4">
        <v>170</v>
      </c>
      <c r="SR4" t="s">
        <v>660</v>
      </c>
      <c r="SS4" t="s">
        <v>2329</v>
      </c>
      <c r="ST4">
        <v>170</v>
      </c>
      <c r="SV4" t="s">
        <v>660</v>
      </c>
      <c r="SW4" t="s">
        <v>2329</v>
      </c>
      <c r="SX4">
        <v>170</v>
      </c>
      <c r="SZ4" t="s">
        <v>660</v>
      </c>
      <c r="TA4" t="s">
        <v>2329</v>
      </c>
      <c r="TB4">
        <v>170</v>
      </c>
      <c r="TD4" t="s">
        <v>660</v>
      </c>
      <c r="TE4" t="s">
        <v>2329</v>
      </c>
      <c r="TF4">
        <v>170</v>
      </c>
      <c r="TH4" t="s">
        <v>660</v>
      </c>
      <c r="TI4" t="s">
        <v>2329</v>
      </c>
      <c r="TJ4">
        <v>170</v>
      </c>
      <c r="TL4" t="s">
        <v>660</v>
      </c>
      <c r="TM4" t="s">
        <v>2329</v>
      </c>
      <c r="TN4">
        <v>170</v>
      </c>
      <c r="TP4" t="s">
        <v>442</v>
      </c>
      <c r="TQ4" t="s">
        <v>2349</v>
      </c>
      <c r="TR4">
        <v>-191</v>
      </c>
      <c r="TT4" t="s">
        <v>442</v>
      </c>
      <c r="TU4" t="s">
        <v>2349</v>
      </c>
      <c r="TV4">
        <v>-191</v>
      </c>
      <c r="TX4" t="s">
        <v>442</v>
      </c>
      <c r="TY4" t="s">
        <v>2349</v>
      </c>
      <c r="TZ4">
        <v>-191</v>
      </c>
      <c r="UB4" t="s">
        <v>442</v>
      </c>
      <c r="UC4" t="s">
        <v>2349</v>
      </c>
      <c r="UD4">
        <v>-191</v>
      </c>
      <c r="UF4" t="s">
        <v>446</v>
      </c>
      <c r="UG4" t="s">
        <v>447</v>
      </c>
      <c r="UH4">
        <v>114</v>
      </c>
      <c r="UJ4" t="s">
        <v>442</v>
      </c>
      <c r="UK4" t="s">
        <v>2349</v>
      </c>
      <c r="UL4">
        <v>-191</v>
      </c>
      <c r="UN4" t="s">
        <v>442</v>
      </c>
      <c r="UO4" t="s">
        <v>2349</v>
      </c>
      <c r="UP4">
        <v>-191</v>
      </c>
      <c r="UR4" t="s">
        <v>442</v>
      </c>
      <c r="US4" t="s">
        <v>2349</v>
      </c>
      <c r="UT4">
        <v>-191</v>
      </c>
      <c r="UV4" t="s">
        <v>448</v>
      </c>
      <c r="UW4" t="s">
        <v>447</v>
      </c>
      <c r="UX4">
        <v>114</v>
      </c>
      <c r="UZ4" t="s">
        <v>448</v>
      </c>
      <c r="VA4" t="s">
        <v>447</v>
      </c>
      <c r="VB4">
        <v>114</v>
      </c>
      <c r="VT4" t="s">
        <v>442</v>
      </c>
      <c r="VU4" t="s">
        <v>2349</v>
      </c>
      <c r="VV4">
        <v>-191</v>
      </c>
      <c r="VX4" t="s">
        <v>442</v>
      </c>
      <c r="VY4" t="s">
        <v>2349</v>
      </c>
      <c r="VZ4">
        <v>-191</v>
      </c>
      <c r="WB4" t="s">
        <v>442</v>
      </c>
      <c r="WC4" t="s">
        <v>2391</v>
      </c>
      <c r="WD4">
        <v>-191</v>
      </c>
      <c r="WF4" t="s">
        <v>448</v>
      </c>
      <c r="WG4" t="s">
        <v>447</v>
      </c>
      <c r="WH4">
        <v>114</v>
      </c>
      <c r="WJ4" t="s">
        <v>448</v>
      </c>
      <c r="WK4" t="s">
        <v>447</v>
      </c>
      <c r="WL4">
        <v>114</v>
      </c>
      <c r="WN4" t="s">
        <v>471</v>
      </c>
      <c r="WO4" t="s">
        <v>2382</v>
      </c>
      <c r="WP4">
        <v>758</v>
      </c>
      <c r="WR4" t="s">
        <v>448</v>
      </c>
      <c r="WS4" t="s">
        <v>447</v>
      </c>
      <c r="WT4">
        <v>114</v>
      </c>
      <c r="WV4" t="s">
        <v>558</v>
      </c>
      <c r="WW4" t="s">
        <v>2400</v>
      </c>
      <c r="WX4">
        <v>129</v>
      </c>
      <c r="WZ4" t="s">
        <v>558</v>
      </c>
      <c r="XA4" t="s">
        <v>2400</v>
      </c>
      <c r="XB4">
        <v>129</v>
      </c>
      <c r="XD4" t="s">
        <v>558</v>
      </c>
      <c r="XE4" t="s">
        <v>2400</v>
      </c>
      <c r="XF4">
        <v>129</v>
      </c>
      <c r="XH4" t="s">
        <v>558</v>
      </c>
      <c r="XI4" t="s">
        <v>2400</v>
      </c>
      <c r="XJ4">
        <v>129</v>
      </c>
      <c r="XL4" t="s">
        <v>558</v>
      </c>
      <c r="XM4" t="s">
        <v>2400</v>
      </c>
      <c r="XN4">
        <v>129</v>
      </c>
      <c r="XP4" t="s">
        <v>558</v>
      </c>
      <c r="XQ4" t="s">
        <v>2400</v>
      </c>
      <c r="XR4">
        <v>129</v>
      </c>
      <c r="XT4" t="s">
        <v>558</v>
      </c>
      <c r="XU4" t="s">
        <v>2400</v>
      </c>
      <c r="XV4">
        <v>129</v>
      </c>
      <c r="XX4" t="s">
        <v>471</v>
      </c>
      <c r="XY4" t="s">
        <v>2382</v>
      </c>
      <c r="XZ4">
        <v>758</v>
      </c>
      <c r="YB4" t="s">
        <v>471</v>
      </c>
      <c r="YC4" t="s">
        <v>2382</v>
      </c>
      <c r="YD4">
        <v>758</v>
      </c>
      <c r="YF4" t="s">
        <v>471</v>
      </c>
      <c r="YG4" t="s">
        <v>2382</v>
      </c>
      <c r="YH4">
        <v>758</v>
      </c>
      <c r="YJ4" t="s">
        <v>471</v>
      </c>
      <c r="YK4" t="s">
        <v>2382</v>
      </c>
      <c r="YL4">
        <v>758</v>
      </c>
      <c r="YN4" t="s">
        <v>471</v>
      </c>
      <c r="YO4" t="s">
        <v>2382</v>
      </c>
      <c r="YP4">
        <v>758</v>
      </c>
      <c r="YR4" t="s">
        <v>471</v>
      </c>
      <c r="YS4" t="s">
        <v>2382</v>
      </c>
      <c r="YT4">
        <v>758</v>
      </c>
      <c r="YV4" t="s">
        <v>471</v>
      </c>
      <c r="YW4" t="s">
        <v>2382</v>
      </c>
      <c r="YX4">
        <v>758</v>
      </c>
      <c r="YZ4" t="s">
        <v>471</v>
      </c>
      <c r="ZA4" t="s">
        <v>2382</v>
      </c>
      <c r="ZB4">
        <v>758</v>
      </c>
      <c r="ZD4" t="s">
        <v>471</v>
      </c>
      <c r="ZE4" t="s">
        <v>2382</v>
      </c>
      <c r="ZF4">
        <v>758</v>
      </c>
      <c r="ZH4" t="s">
        <v>471</v>
      </c>
      <c r="ZI4" t="s">
        <v>2382</v>
      </c>
      <c r="ZJ4">
        <v>758</v>
      </c>
      <c r="ZL4" t="s">
        <v>471</v>
      </c>
      <c r="ZM4" t="s">
        <v>2382</v>
      </c>
      <c r="ZN4">
        <v>758</v>
      </c>
      <c r="ZP4" t="s">
        <v>471</v>
      </c>
      <c r="ZQ4" t="s">
        <v>2382</v>
      </c>
      <c r="ZR4">
        <v>758</v>
      </c>
      <c r="ZT4" t="s">
        <v>471</v>
      </c>
      <c r="ZU4" t="s">
        <v>2382</v>
      </c>
      <c r="ZV4">
        <v>758</v>
      </c>
      <c r="ZX4" t="s">
        <v>560</v>
      </c>
      <c r="ZY4" t="s">
        <v>2398</v>
      </c>
      <c r="ZZ4">
        <v>103</v>
      </c>
      <c r="AAB4" t="s">
        <v>560</v>
      </c>
      <c r="AAC4" t="s">
        <v>2398</v>
      </c>
      <c r="AAD4">
        <v>103</v>
      </c>
      <c r="AAF4" t="s">
        <v>560</v>
      </c>
      <c r="AAG4" t="s">
        <v>2398</v>
      </c>
      <c r="AAH4">
        <v>103</v>
      </c>
      <c r="AAJ4" t="s">
        <v>560</v>
      </c>
      <c r="AAK4" t="s">
        <v>2398</v>
      </c>
      <c r="AAL4">
        <v>103</v>
      </c>
      <c r="AAN4" t="s">
        <v>560</v>
      </c>
      <c r="AAO4" t="s">
        <v>2398</v>
      </c>
      <c r="AAP4">
        <v>103</v>
      </c>
      <c r="AAR4" t="s">
        <v>568</v>
      </c>
      <c r="AAS4" t="s">
        <v>2408</v>
      </c>
      <c r="AAT4">
        <v>196</v>
      </c>
      <c r="AAV4" t="s">
        <v>568</v>
      </c>
      <c r="AAW4" t="s">
        <v>2408</v>
      </c>
      <c r="AAX4">
        <v>196</v>
      </c>
      <c r="AAZ4" t="s">
        <v>568</v>
      </c>
      <c r="ABA4" t="s">
        <v>2408</v>
      </c>
      <c r="ABB4">
        <v>196</v>
      </c>
      <c r="ABD4" t="s">
        <v>556</v>
      </c>
      <c r="ABE4" t="s">
        <v>2410</v>
      </c>
      <c r="ABF4">
        <v>78</v>
      </c>
    </row>
    <row r="5" spans="1:734" ht="15.75" thickBot="1">
      <c r="A5" t="s">
        <v>436</v>
      </c>
      <c r="B5" t="s">
        <v>1599</v>
      </c>
      <c r="C5">
        <v>541</v>
      </c>
      <c r="E5" s="38" t="s">
        <v>1508</v>
      </c>
      <c r="G5" s="141" t="s">
        <v>340</v>
      </c>
      <c r="H5" s="168"/>
      <c r="I5" s="148" t="s">
        <v>20</v>
      </c>
      <c r="J5" s="164"/>
      <c r="K5" s="175" t="s">
        <v>1719</v>
      </c>
      <c r="L5" s="164"/>
      <c r="M5" s="162" t="s">
        <v>28</v>
      </c>
      <c r="N5" s="166"/>
      <c r="O5" s="154" t="s">
        <v>88</v>
      </c>
      <c r="P5" s="164"/>
      <c r="Q5" s="150" t="s">
        <v>227</v>
      </c>
      <c r="S5" s="78" t="s">
        <v>410</v>
      </c>
      <c r="Y5" t="s">
        <v>436</v>
      </c>
      <c r="Z5" t="s">
        <v>1599</v>
      </c>
      <c r="AA5">
        <v>541</v>
      </c>
      <c r="AC5" t="s">
        <v>436</v>
      </c>
      <c r="AD5" t="s">
        <v>1607</v>
      </c>
      <c r="AE5">
        <v>541</v>
      </c>
      <c r="AG5" t="s">
        <v>1604</v>
      </c>
      <c r="AH5" t="s">
        <v>1611</v>
      </c>
      <c r="AI5">
        <v>268</v>
      </c>
      <c r="BV5" t="s">
        <v>594</v>
      </c>
      <c r="BW5" t="s">
        <v>595</v>
      </c>
      <c r="BX5">
        <v>938</v>
      </c>
      <c r="BZ5" t="s">
        <v>584</v>
      </c>
      <c r="CA5" t="s">
        <v>1641</v>
      </c>
      <c r="CB5">
        <v>26</v>
      </c>
      <c r="CD5" t="s">
        <v>546</v>
      </c>
      <c r="CE5" t="s">
        <v>1644</v>
      </c>
      <c r="CF5">
        <v>685</v>
      </c>
      <c r="CH5" t="s">
        <v>546</v>
      </c>
      <c r="CI5" t="s">
        <v>1644</v>
      </c>
      <c r="CJ5">
        <v>685</v>
      </c>
      <c r="CL5" t="s">
        <v>546</v>
      </c>
      <c r="CM5" t="s">
        <v>1644</v>
      </c>
      <c r="CN5">
        <v>685</v>
      </c>
      <c r="CP5" t="s">
        <v>416</v>
      </c>
      <c r="CQ5" t="s">
        <v>416</v>
      </c>
      <c r="CR5">
        <v>582</v>
      </c>
      <c r="CT5" t="s">
        <v>416</v>
      </c>
      <c r="CU5" t="s">
        <v>416</v>
      </c>
      <c r="CV5">
        <v>582</v>
      </c>
      <c r="CX5" t="s">
        <v>416</v>
      </c>
      <c r="CY5" t="s">
        <v>416</v>
      </c>
      <c r="CZ5">
        <v>582</v>
      </c>
      <c r="DB5" t="s">
        <v>249</v>
      </c>
      <c r="DC5" t="s">
        <v>1667</v>
      </c>
      <c r="DD5">
        <v>2627</v>
      </c>
      <c r="DF5" t="s">
        <v>249</v>
      </c>
      <c r="DG5" t="s">
        <v>1667</v>
      </c>
      <c r="DH5">
        <v>2627</v>
      </c>
      <c r="DJ5" t="s">
        <v>249</v>
      </c>
      <c r="DK5" t="s">
        <v>1667</v>
      </c>
      <c r="DL5">
        <v>2627</v>
      </c>
      <c r="DN5" t="s">
        <v>249</v>
      </c>
      <c r="DO5" t="s">
        <v>1667</v>
      </c>
      <c r="DP5">
        <v>2627</v>
      </c>
      <c r="DR5" t="s">
        <v>249</v>
      </c>
      <c r="DS5" t="s">
        <v>1667</v>
      </c>
      <c r="DT5">
        <v>2627</v>
      </c>
      <c r="DV5" t="s">
        <v>1681</v>
      </c>
      <c r="DW5" t="s">
        <v>1684</v>
      </c>
      <c r="DX5">
        <v>1412</v>
      </c>
      <c r="DZ5" t="s">
        <v>1681</v>
      </c>
      <c r="EA5" t="s">
        <v>1684</v>
      </c>
      <c r="EB5">
        <v>1412</v>
      </c>
      <c r="ED5" t="s">
        <v>1681</v>
      </c>
      <c r="EE5" t="s">
        <v>1696</v>
      </c>
      <c r="EF5">
        <v>1412</v>
      </c>
      <c r="EH5" t="s">
        <v>1681</v>
      </c>
      <c r="EI5" t="s">
        <v>1684</v>
      </c>
      <c r="EJ5">
        <v>1412</v>
      </c>
      <c r="EL5" t="s">
        <v>1681</v>
      </c>
      <c r="EM5" t="s">
        <v>1684</v>
      </c>
      <c r="EN5">
        <v>1412</v>
      </c>
      <c r="EP5" t="s">
        <v>1681</v>
      </c>
      <c r="EQ5" t="s">
        <v>1684</v>
      </c>
      <c r="ER5">
        <v>1412</v>
      </c>
      <c r="ET5" t="s">
        <v>1699</v>
      </c>
      <c r="EU5" t="s">
        <v>1700</v>
      </c>
      <c r="EV5">
        <v>237</v>
      </c>
      <c r="EX5" t="s">
        <v>1699</v>
      </c>
      <c r="EY5" t="s">
        <v>1700</v>
      </c>
      <c r="EZ5">
        <v>237</v>
      </c>
      <c r="FB5" t="s">
        <v>1699</v>
      </c>
      <c r="FC5" t="s">
        <v>1700</v>
      </c>
      <c r="FD5">
        <v>237</v>
      </c>
      <c r="FF5" t="s">
        <v>1699</v>
      </c>
      <c r="FG5" t="s">
        <v>1700</v>
      </c>
      <c r="FH5">
        <v>237</v>
      </c>
      <c r="FJ5" t="s">
        <v>1699</v>
      </c>
      <c r="FK5" t="s">
        <v>1700</v>
      </c>
      <c r="FL5">
        <v>237</v>
      </c>
      <c r="FN5" t="s">
        <v>1699</v>
      </c>
      <c r="FO5" t="s">
        <v>1700</v>
      </c>
      <c r="FP5">
        <v>237</v>
      </c>
      <c r="FR5" t="s">
        <v>1699</v>
      </c>
      <c r="FS5" t="s">
        <v>1700</v>
      </c>
      <c r="FT5">
        <v>237</v>
      </c>
      <c r="FV5" t="s">
        <v>1699</v>
      </c>
      <c r="FW5" t="s">
        <v>1700</v>
      </c>
      <c r="FX5">
        <v>237</v>
      </c>
      <c r="FZ5" t="s">
        <v>1699</v>
      </c>
      <c r="GA5" t="s">
        <v>1700</v>
      </c>
      <c r="GB5">
        <v>237</v>
      </c>
      <c r="GD5" t="s">
        <v>1699</v>
      </c>
      <c r="GE5" t="s">
        <v>1700</v>
      </c>
      <c r="GF5">
        <v>237</v>
      </c>
      <c r="GH5" t="s">
        <v>1699</v>
      </c>
      <c r="GI5" t="s">
        <v>1700</v>
      </c>
      <c r="GJ5">
        <v>237</v>
      </c>
      <c r="GL5" t="s">
        <v>1699</v>
      </c>
      <c r="GM5" t="s">
        <v>1700</v>
      </c>
      <c r="GN5">
        <v>237</v>
      </c>
      <c r="GP5" t="s">
        <v>1699</v>
      </c>
      <c r="GQ5" t="s">
        <v>1700</v>
      </c>
      <c r="GR5">
        <v>237</v>
      </c>
      <c r="GT5" t="s">
        <v>1699</v>
      </c>
      <c r="GU5" t="s">
        <v>1700</v>
      </c>
      <c r="GV5">
        <v>237</v>
      </c>
      <c r="GX5" t="s">
        <v>1699</v>
      </c>
      <c r="GY5" t="s">
        <v>1700</v>
      </c>
      <c r="GZ5">
        <v>237</v>
      </c>
      <c r="HB5" t="s">
        <v>1699</v>
      </c>
      <c r="HC5" t="s">
        <v>1700</v>
      </c>
      <c r="HD5">
        <v>237</v>
      </c>
      <c r="HF5" t="s">
        <v>1699</v>
      </c>
      <c r="HG5" t="s">
        <v>1700</v>
      </c>
      <c r="HH5">
        <v>237</v>
      </c>
      <c r="HJ5" t="s">
        <v>1699</v>
      </c>
      <c r="HK5" t="s">
        <v>1700</v>
      </c>
      <c r="HL5">
        <v>237</v>
      </c>
      <c r="HN5" t="s">
        <v>1699</v>
      </c>
      <c r="HO5" t="s">
        <v>1700</v>
      </c>
      <c r="HP5">
        <v>237</v>
      </c>
      <c r="HR5" t="s">
        <v>1032</v>
      </c>
      <c r="HS5" t="s">
        <v>1033</v>
      </c>
      <c r="HT5">
        <v>289</v>
      </c>
      <c r="HV5" t="s">
        <v>1032</v>
      </c>
      <c r="HW5" t="s">
        <v>1033</v>
      </c>
      <c r="HX5">
        <v>289</v>
      </c>
      <c r="HZ5" t="s">
        <v>1078</v>
      </c>
      <c r="IA5" t="s">
        <v>1801</v>
      </c>
      <c r="IB5">
        <v>47</v>
      </c>
      <c r="ID5" t="s">
        <v>1220</v>
      </c>
      <c r="IE5" t="s">
        <v>1798</v>
      </c>
      <c r="IF5">
        <v>644</v>
      </c>
      <c r="IH5" t="s">
        <v>1076</v>
      </c>
      <c r="II5" t="s">
        <v>1803</v>
      </c>
      <c r="IJ5">
        <v>691</v>
      </c>
      <c r="IL5" t="s">
        <v>1196</v>
      </c>
      <c r="IM5" t="s">
        <v>972</v>
      </c>
      <c r="IN5">
        <v>0</v>
      </c>
      <c r="IP5" t="s">
        <v>1231</v>
      </c>
      <c r="IQ5" t="s">
        <v>1804</v>
      </c>
      <c r="IR5">
        <v>88</v>
      </c>
      <c r="IT5" t="s">
        <v>1196</v>
      </c>
      <c r="IU5" t="s">
        <v>972</v>
      </c>
      <c r="IV5">
        <v>0</v>
      </c>
      <c r="IX5" t="s">
        <v>1231</v>
      </c>
      <c r="IY5" t="s">
        <v>1804</v>
      </c>
      <c r="IZ5">
        <v>88</v>
      </c>
      <c r="JB5" t="s">
        <v>1196</v>
      </c>
      <c r="JC5" t="s">
        <v>1784</v>
      </c>
      <c r="JD5">
        <v>0</v>
      </c>
      <c r="JF5" t="s">
        <v>1208</v>
      </c>
      <c r="JG5" t="s">
        <v>1791</v>
      </c>
      <c r="JH5">
        <v>433</v>
      </c>
      <c r="JJ5" t="s">
        <v>1196</v>
      </c>
      <c r="JK5" t="s">
        <v>1784</v>
      </c>
      <c r="JL5">
        <v>0</v>
      </c>
      <c r="JN5" t="s">
        <v>1208</v>
      </c>
      <c r="JO5" t="s">
        <v>1791</v>
      </c>
      <c r="JP5">
        <v>433</v>
      </c>
      <c r="JR5" t="s">
        <v>1032</v>
      </c>
      <c r="JS5" t="s">
        <v>1033</v>
      </c>
      <c r="JT5">
        <v>289</v>
      </c>
      <c r="JV5" t="s">
        <v>1020</v>
      </c>
      <c r="JW5" t="s">
        <v>1021</v>
      </c>
      <c r="JX5">
        <v>52</v>
      </c>
      <c r="JZ5" t="s">
        <v>1020</v>
      </c>
      <c r="KA5" t="s">
        <v>1021</v>
      </c>
      <c r="KB5">
        <v>52</v>
      </c>
      <c r="KD5" t="s">
        <v>1020</v>
      </c>
      <c r="KE5" t="s">
        <v>1021</v>
      </c>
      <c r="KF5">
        <v>52</v>
      </c>
      <c r="KH5" t="s">
        <v>1020</v>
      </c>
      <c r="KI5" t="s">
        <v>1021</v>
      </c>
      <c r="KJ5">
        <v>52</v>
      </c>
      <c r="KL5" t="s">
        <v>1020</v>
      </c>
      <c r="KM5" t="s">
        <v>1021</v>
      </c>
      <c r="KN5">
        <v>52</v>
      </c>
      <c r="KP5" t="s">
        <v>1019</v>
      </c>
      <c r="KQ5" t="s">
        <v>1842</v>
      </c>
      <c r="KR5">
        <v>335</v>
      </c>
      <c r="KT5" t="s">
        <v>1017</v>
      </c>
      <c r="KU5" t="s">
        <v>1018</v>
      </c>
      <c r="KV5">
        <v>109</v>
      </c>
      <c r="KX5" t="s">
        <v>1020</v>
      </c>
      <c r="KY5" t="s">
        <v>1021</v>
      </c>
      <c r="KZ5">
        <v>52</v>
      </c>
      <c r="LB5" t="s">
        <v>1194</v>
      </c>
      <c r="LC5" t="s">
        <v>1807</v>
      </c>
      <c r="LD5">
        <v>433</v>
      </c>
      <c r="LJ5" t="s">
        <v>1160</v>
      </c>
      <c r="LK5" t="s">
        <v>927</v>
      </c>
      <c r="LL5">
        <v>598</v>
      </c>
      <c r="LN5" t="s">
        <v>1166</v>
      </c>
      <c r="LO5" t="s">
        <v>1910</v>
      </c>
      <c r="LP5">
        <v>665</v>
      </c>
      <c r="LR5" t="s">
        <v>824</v>
      </c>
      <c r="LS5" t="s">
        <v>1922</v>
      </c>
      <c r="LT5">
        <v>294</v>
      </c>
      <c r="LV5" t="s">
        <v>862</v>
      </c>
      <c r="LW5" t="s">
        <v>867</v>
      </c>
      <c r="LX5">
        <v>47</v>
      </c>
      <c r="LZ5" t="s">
        <v>985</v>
      </c>
      <c r="MA5" t="s">
        <v>1927</v>
      </c>
      <c r="MB5">
        <v>634</v>
      </c>
      <c r="MD5" t="s">
        <v>862</v>
      </c>
      <c r="ME5" t="s">
        <v>867</v>
      </c>
      <c r="MF5">
        <v>47</v>
      </c>
      <c r="MH5" t="s">
        <v>971</v>
      </c>
      <c r="MI5" t="s">
        <v>1784</v>
      </c>
      <c r="MJ5">
        <v>0</v>
      </c>
      <c r="ML5" t="s">
        <v>971</v>
      </c>
      <c r="MM5" t="s">
        <v>1784</v>
      </c>
      <c r="MN5">
        <v>0</v>
      </c>
      <c r="MP5" t="s">
        <v>824</v>
      </c>
      <c r="MQ5" t="s">
        <v>1922</v>
      </c>
      <c r="MR5">
        <v>294</v>
      </c>
      <c r="MT5" t="s">
        <v>824</v>
      </c>
      <c r="MU5" t="s">
        <v>1922</v>
      </c>
      <c r="MV5">
        <v>294</v>
      </c>
      <c r="MX5" t="s">
        <v>1389</v>
      </c>
      <c r="MY5" t="str">
        <f t="shared" si="0"/>
        <v>Sink Base Cabinet</v>
      </c>
      <c r="MZ5">
        <v>1360</v>
      </c>
      <c r="NA5" t="str">
        <f t="shared" si="1"/>
        <v>26</v>
      </c>
      <c r="NB5" t="str">
        <f t="shared" si="2"/>
        <v>34</v>
      </c>
      <c r="NC5" t="str">
        <f t="shared" si="3"/>
        <v>24</v>
      </c>
      <c r="NE5" t="s">
        <v>1966</v>
      </c>
      <c r="NF5" t="s">
        <v>1967</v>
      </c>
      <c r="NH5" t="s">
        <v>816</v>
      </c>
      <c r="NI5" t="s">
        <v>817</v>
      </c>
      <c r="NJ5">
        <v>52</v>
      </c>
      <c r="NL5" t="s">
        <v>808</v>
      </c>
      <c r="NM5" t="s">
        <v>1996</v>
      </c>
      <c r="NN5">
        <v>237</v>
      </c>
      <c r="NP5" t="s">
        <v>810</v>
      </c>
      <c r="NQ5" t="s">
        <v>811</v>
      </c>
      <c r="NR5">
        <v>52</v>
      </c>
      <c r="NT5" t="s">
        <v>810</v>
      </c>
      <c r="NU5" t="s">
        <v>811</v>
      </c>
      <c r="NV5">
        <v>52</v>
      </c>
      <c r="NX5" t="s">
        <v>748</v>
      </c>
      <c r="NY5" t="s">
        <v>1855</v>
      </c>
      <c r="NZ5">
        <v>109</v>
      </c>
      <c r="OB5" t="s">
        <v>748</v>
      </c>
      <c r="OC5" t="s">
        <v>1855</v>
      </c>
      <c r="OD5">
        <v>109</v>
      </c>
      <c r="OF5" t="s">
        <v>112</v>
      </c>
      <c r="OG5" t="s">
        <v>1853</v>
      </c>
      <c r="OH5">
        <v>3595</v>
      </c>
      <c r="OJ5" t="s">
        <v>979</v>
      </c>
      <c r="OK5" t="s">
        <v>1890</v>
      </c>
      <c r="OL5">
        <v>1190</v>
      </c>
      <c r="ON5" t="s">
        <v>977</v>
      </c>
      <c r="OO5" t="s">
        <v>1792</v>
      </c>
      <c r="OP5">
        <v>598</v>
      </c>
      <c r="OR5" t="s">
        <v>977</v>
      </c>
      <c r="OS5" t="s">
        <v>1792</v>
      </c>
      <c r="OT5">
        <v>598</v>
      </c>
      <c r="OV5" t="s">
        <v>973</v>
      </c>
      <c r="OW5" t="s">
        <v>1786</v>
      </c>
      <c r="OX5">
        <v>325</v>
      </c>
      <c r="PD5" t="s">
        <v>926</v>
      </c>
      <c r="PE5" t="s">
        <v>1913</v>
      </c>
      <c r="PF5">
        <v>629</v>
      </c>
      <c r="PL5" t="s">
        <v>759</v>
      </c>
      <c r="PM5" t="s">
        <v>1824</v>
      </c>
      <c r="PN5">
        <v>-412</v>
      </c>
      <c r="PP5" t="s">
        <v>759</v>
      </c>
      <c r="PQ5" t="s">
        <v>1824</v>
      </c>
      <c r="PR5">
        <v>-412</v>
      </c>
      <c r="PX5" t="s">
        <v>759</v>
      </c>
      <c r="PY5" t="s">
        <v>1824</v>
      </c>
      <c r="PZ5">
        <v>-412</v>
      </c>
      <c r="QB5" t="s">
        <v>759</v>
      </c>
      <c r="QC5" t="s">
        <v>1824</v>
      </c>
      <c r="QD5">
        <v>-412</v>
      </c>
      <c r="QF5" t="s">
        <v>750</v>
      </c>
      <c r="QG5" t="s">
        <v>2283</v>
      </c>
      <c r="QH5">
        <v>52</v>
      </c>
      <c r="QJ5" t="s">
        <v>750</v>
      </c>
      <c r="QK5" t="s">
        <v>2283</v>
      </c>
      <c r="QL5">
        <v>52</v>
      </c>
      <c r="QV5" t="s">
        <v>794</v>
      </c>
      <c r="QW5" t="s">
        <v>2299</v>
      </c>
      <c r="QX5">
        <v>0</v>
      </c>
      <c r="QZ5" t="s">
        <v>794</v>
      </c>
      <c r="RA5" t="s">
        <v>2309</v>
      </c>
      <c r="RB5">
        <v>0</v>
      </c>
      <c r="RD5" t="s">
        <v>666</v>
      </c>
      <c r="RE5" t="s">
        <v>2330</v>
      </c>
      <c r="RF5">
        <v>325</v>
      </c>
      <c r="RH5" t="s">
        <v>666</v>
      </c>
      <c r="RI5" t="s">
        <v>2330</v>
      </c>
      <c r="RJ5">
        <v>325</v>
      </c>
      <c r="RL5" t="s">
        <v>666</v>
      </c>
      <c r="RM5" t="s">
        <v>2330</v>
      </c>
      <c r="RN5">
        <v>325</v>
      </c>
      <c r="RP5" t="s">
        <v>666</v>
      </c>
      <c r="RQ5" t="s">
        <v>2330</v>
      </c>
      <c r="RR5">
        <v>325</v>
      </c>
      <c r="RT5" t="s">
        <v>666</v>
      </c>
      <c r="RU5" t="s">
        <v>2330</v>
      </c>
      <c r="RV5">
        <v>325</v>
      </c>
      <c r="RX5" t="s">
        <v>666</v>
      </c>
      <c r="RY5" t="s">
        <v>2330</v>
      </c>
      <c r="RZ5">
        <v>325</v>
      </c>
      <c r="SB5" t="s">
        <v>666</v>
      </c>
      <c r="SC5" t="s">
        <v>2330</v>
      </c>
      <c r="SD5">
        <v>325</v>
      </c>
      <c r="SF5" t="s">
        <v>666</v>
      </c>
      <c r="SG5" t="s">
        <v>2330</v>
      </c>
      <c r="SH5">
        <v>325</v>
      </c>
      <c r="SJ5" t="s">
        <v>666</v>
      </c>
      <c r="SK5" t="s">
        <v>2330</v>
      </c>
      <c r="SL5">
        <v>325</v>
      </c>
      <c r="SN5" t="s">
        <v>666</v>
      </c>
      <c r="SO5" t="s">
        <v>2330</v>
      </c>
      <c r="SP5">
        <v>325</v>
      </c>
      <c r="SR5" t="s">
        <v>666</v>
      </c>
      <c r="SS5" t="s">
        <v>2330</v>
      </c>
      <c r="ST5">
        <v>325</v>
      </c>
      <c r="SV5" t="s">
        <v>666</v>
      </c>
      <c r="SW5" t="s">
        <v>2330</v>
      </c>
      <c r="SX5">
        <v>325</v>
      </c>
      <c r="SZ5" t="s">
        <v>666</v>
      </c>
      <c r="TA5" t="s">
        <v>2330</v>
      </c>
      <c r="TB5">
        <v>325</v>
      </c>
      <c r="TD5" t="s">
        <v>666</v>
      </c>
      <c r="TE5" t="s">
        <v>2330</v>
      </c>
      <c r="TF5">
        <v>325</v>
      </c>
      <c r="TH5" t="s">
        <v>666</v>
      </c>
      <c r="TI5" t="s">
        <v>2330</v>
      </c>
      <c r="TJ5">
        <v>325</v>
      </c>
      <c r="TL5" t="s">
        <v>666</v>
      </c>
      <c r="TM5" t="s">
        <v>2330</v>
      </c>
      <c r="TN5">
        <v>325</v>
      </c>
      <c r="TP5" t="s">
        <v>446</v>
      </c>
      <c r="TQ5" t="s">
        <v>447</v>
      </c>
      <c r="TR5">
        <v>114</v>
      </c>
      <c r="TT5" t="s">
        <v>446</v>
      </c>
      <c r="TU5" t="s">
        <v>447</v>
      </c>
      <c r="TV5">
        <v>114</v>
      </c>
      <c r="TX5" t="s">
        <v>446</v>
      </c>
      <c r="TY5" t="s">
        <v>447</v>
      </c>
      <c r="TZ5">
        <v>114</v>
      </c>
      <c r="UB5" t="s">
        <v>446</v>
      </c>
      <c r="UC5" t="s">
        <v>447</v>
      </c>
      <c r="UD5">
        <v>114</v>
      </c>
      <c r="UF5" t="s">
        <v>449</v>
      </c>
      <c r="UG5" t="s">
        <v>2350</v>
      </c>
      <c r="UH5">
        <v>165</v>
      </c>
      <c r="UJ5" t="s">
        <v>459</v>
      </c>
      <c r="UK5" t="s">
        <v>460</v>
      </c>
      <c r="UL5">
        <v>-181</v>
      </c>
      <c r="UN5" t="s">
        <v>459</v>
      </c>
      <c r="UO5" t="s">
        <v>460</v>
      </c>
      <c r="UP5">
        <v>-181</v>
      </c>
      <c r="UR5" t="s">
        <v>459</v>
      </c>
      <c r="US5" t="s">
        <v>460</v>
      </c>
      <c r="UT5">
        <v>-181</v>
      </c>
      <c r="UV5" t="s">
        <v>500</v>
      </c>
      <c r="UW5" t="s">
        <v>2377</v>
      </c>
      <c r="UX5">
        <v>26</v>
      </c>
      <c r="UZ5" t="s">
        <v>500</v>
      </c>
      <c r="VA5" t="s">
        <v>2377</v>
      </c>
      <c r="VB5">
        <v>26</v>
      </c>
      <c r="VT5" t="s">
        <v>448</v>
      </c>
      <c r="VU5" t="s">
        <v>447</v>
      </c>
      <c r="VV5">
        <v>114</v>
      </c>
      <c r="VX5" t="s">
        <v>448</v>
      </c>
      <c r="VY5" t="s">
        <v>447</v>
      </c>
      <c r="VZ5">
        <v>114</v>
      </c>
      <c r="WB5" t="s">
        <v>459</v>
      </c>
      <c r="WC5" t="s">
        <v>460</v>
      </c>
      <c r="WD5">
        <v>-181</v>
      </c>
      <c r="WF5" t="s">
        <v>471</v>
      </c>
      <c r="WG5" t="s">
        <v>2382</v>
      </c>
      <c r="WH5">
        <v>758</v>
      </c>
      <c r="WN5" t="s">
        <v>475</v>
      </c>
      <c r="WO5" t="s">
        <v>2383</v>
      </c>
      <c r="WP5">
        <v>938</v>
      </c>
      <c r="WR5" t="s">
        <v>9</v>
      </c>
      <c r="WS5" t="s">
        <v>2395</v>
      </c>
      <c r="WT5">
        <v>346</v>
      </c>
      <c r="WV5" t="s">
        <v>552</v>
      </c>
      <c r="WW5" t="s">
        <v>2401</v>
      </c>
      <c r="WX5">
        <v>552</v>
      </c>
      <c r="WZ5" t="s">
        <v>574</v>
      </c>
      <c r="XA5" t="s">
        <v>2402</v>
      </c>
      <c r="XB5">
        <v>52</v>
      </c>
      <c r="XD5" t="s">
        <v>552</v>
      </c>
      <c r="XE5" t="s">
        <v>2401</v>
      </c>
      <c r="XF5">
        <v>552</v>
      </c>
      <c r="XH5" t="s">
        <v>576</v>
      </c>
      <c r="XI5" t="s">
        <v>2402</v>
      </c>
      <c r="XJ5">
        <v>52</v>
      </c>
      <c r="XL5" t="s">
        <v>576</v>
      </c>
      <c r="XM5" t="s">
        <v>2402</v>
      </c>
      <c r="XN5">
        <v>52</v>
      </c>
      <c r="XP5" t="s">
        <v>552</v>
      </c>
      <c r="XQ5" t="s">
        <v>2401</v>
      </c>
      <c r="XR5">
        <v>552</v>
      </c>
      <c r="XT5" t="s">
        <v>552</v>
      </c>
      <c r="XU5" t="s">
        <v>2401</v>
      </c>
      <c r="XV5">
        <v>552</v>
      </c>
      <c r="XX5" t="s">
        <v>475</v>
      </c>
      <c r="XY5" t="s">
        <v>2383</v>
      </c>
      <c r="XZ5">
        <v>938</v>
      </c>
      <c r="YB5" t="s">
        <v>475</v>
      </c>
      <c r="YC5" t="s">
        <v>2383</v>
      </c>
      <c r="YD5">
        <v>938</v>
      </c>
      <c r="YF5" t="s">
        <v>475</v>
      </c>
      <c r="YG5" t="s">
        <v>2383</v>
      </c>
      <c r="YH5">
        <v>938</v>
      </c>
      <c r="YJ5" t="s">
        <v>475</v>
      </c>
      <c r="YK5" t="s">
        <v>2383</v>
      </c>
      <c r="YL5">
        <v>938</v>
      </c>
      <c r="YN5" t="s">
        <v>475</v>
      </c>
      <c r="YO5" t="s">
        <v>2383</v>
      </c>
      <c r="YP5">
        <v>938</v>
      </c>
      <c r="YR5" t="s">
        <v>475</v>
      </c>
      <c r="YS5" t="s">
        <v>2383</v>
      </c>
      <c r="YT5">
        <v>938</v>
      </c>
      <c r="YV5" t="s">
        <v>475</v>
      </c>
      <c r="YW5" t="s">
        <v>2383</v>
      </c>
      <c r="YX5">
        <v>938</v>
      </c>
      <c r="YZ5" t="s">
        <v>475</v>
      </c>
      <c r="ZA5" t="s">
        <v>2383</v>
      </c>
      <c r="ZB5">
        <v>938</v>
      </c>
      <c r="ZD5" t="s">
        <v>475</v>
      </c>
      <c r="ZE5" t="s">
        <v>2383</v>
      </c>
      <c r="ZF5">
        <v>938</v>
      </c>
      <c r="ZH5" t="s">
        <v>475</v>
      </c>
      <c r="ZI5" t="s">
        <v>2383</v>
      </c>
      <c r="ZJ5">
        <v>938</v>
      </c>
      <c r="ZL5" t="s">
        <v>475</v>
      </c>
      <c r="ZM5" t="s">
        <v>2383</v>
      </c>
      <c r="ZN5">
        <v>938</v>
      </c>
      <c r="ZP5" t="s">
        <v>475</v>
      </c>
      <c r="ZQ5" t="s">
        <v>2383</v>
      </c>
      <c r="ZR5">
        <v>938</v>
      </c>
      <c r="ZT5" t="s">
        <v>475</v>
      </c>
      <c r="ZU5" t="s">
        <v>2383</v>
      </c>
      <c r="ZV5">
        <v>938</v>
      </c>
      <c r="ZX5" t="s">
        <v>558</v>
      </c>
      <c r="ZY5" t="s">
        <v>2415</v>
      </c>
      <c r="ZZ5">
        <v>129</v>
      </c>
      <c r="AAB5" t="s">
        <v>558</v>
      </c>
      <c r="AAC5" t="s">
        <v>2415</v>
      </c>
      <c r="AAD5">
        <v>129</v>
      </c>
      <c r="AAF5" t="s">
        <v>558</v>
      </c>
      <c r="AAG5" t="s">
        <v>2415</v>
      </c>
      <c r="AAH5">
        <v>129</v>
      </c>
      <c r="AAJ5" t="s">
        <v>558</v>
      </c>
      <c r="AAK5" t="s">
        <v>2415</v>
      </c>
      <c r="AAL5">
        <v>129</v>
      </c>
      <c r="AAN5" t="s">
        <v>558</v>
      </c>
      <c r="AAO5" t="s">
        <v>2415</v>
      </c>
      <c r="AAP5">
        <v>129</v>
      </c>
      <c r="AAR5" t="s">
        <v>572</v>
      </c>
      <c r="AAS5" t="s">
        <v>2409</v>
      </c>
      <c r="AAT5">
        <v>33</v>
      </c>
      <c r="AAV5" t="s">
        <v>572</v>
      </c>
      <c r="AAW5" t="s">
        <v>2409</v>
      </c>
      <c r="AAX5">
        <v>33</v>
      </c>
      <c r="AAZ5" t="s">
        <v>572</v>
      </c>
      <c r="ABA5" t="s">
        <v>2409</v>
      </c>
      <c r="ABB5">
        <v>33</v>
      </c>
    </row>
    <row r="6" spans="1:734" ht="15.75" thickBot="1">
      <c r="A6" t="s">
        <v>1600</v>
      </c>
      <c r="B6" t="s">
        <v>1601</v>
      </c>
      <c r="C6">
        <v>526</v>
      </c>
      <c r="E6" s="105" t="s">
        <v>1504</v>
      </c>
      <c r="G6" s="47" t="s">
        <v>341</v>
      </c>
      <c r="H6" s="164"/>
      <c r="J6" s="164"/>
      <c r="K6" s="161" t="s">
        <v>1720</v>
      </c>
      <c r="L6" s="164"/>
      <c r="M6" s="162">
        <v>100</v>
      </c>
      <c r="N6" s="166"/>
      <c r="O6" s="154" t="s">
        <v>189</v>
      </c>
      <c r="P6" s="164"/>
      <c r="Q6" s="150" t="s">
        <v>225</v>
      </c>
      <c r="S6" s="80" t="s">
        <v>412</v>
      </c>
      <c r="Y6" t="s">
        <v>1600</v>
      </c>
      <c r="Z6" t="s">
        <v>1601</v>
      </c>
      <c r="AA6">
        <v>526</v>
      </c>
      <c r="AC6" t="s">
        <v>412</v>
      </c>
      <c r="AD6" t="s">
        <v>1608</v>
      </c>
      <c r="AE6">
        <v>98</v>
      </c>
      <c r="BV6" t="s">
        <v>582</v>
      </c>
      <c r="BW6" t="s">
        <v>583</v>
      </c>
      <c r="BX6">
        <v>26</v>
      </c>
      <c r="CD6" t="s">
        <v>544</v>
      </c>
      <c r="CE6" t="s">
        <v>1645</v>
      </c>
      <c r="CF6">
        <v>639</v>
      </c>
      <c r="CH6" t="s">
        <v>544</v>
      </c>
      <c r="CI6" t="s">
        <v>1645</v>
      </c>
      <c r="CJ6">
        <v>639</v>
      </c>
      <c r="CL6" t="s">
        <v>544</v>
      </c>
      <c r="CM6" t="s">
        <v>1645</v>
      </c>
      <c r="CN6">
        <v>639</v>
      </c>
      <c r="CP6" t="s">
        <v>408</v>
      </c>
      <c r="CQ6" t="s">
        <v>409</v>
      </c>
      <c r="CR6">
        <v>186</v>
      </c>
      <c r="CT6" t="s">
        <v>408</v>
      </c>
      <c r="CU6" t="s">
        <v>409</v>
      </c>
      <c r="CV6">
        <v>186</v>
      </c>
      <c r="CX6" t="s">
        <v>408</v>
      </c>
      <c r="CY6" t="s">
        <v>409</v>
      </c>
      <c r="CZ6">
        <v>186</v>
      </c>
      <c r="DB6" t="s">
        <v>251</v>
      </c>
      <c r="DC6" t="s">
        <v>1668</v>
      </c>
      <c r="DD6">
        <v>4404</v>
      </c>
      <c r="DF6" t="s">
        <v>251</v>
      </c>
      <c r="DG6" t="s">
        <v>1668</v>
      </c>
      <c r="DH6">
        <v>4404</v>
      </c>
      <c r="DJ6" t="s">
        <v>251</v>
      </c>
      <c r="DK6" t="s">
        <v>1668</v>
      </c>
      <c r="DL6">
        <v>4404</v>
      </c>
      <c r="DN6" t="s">
        <v>251</v>
      </c>
      <c r="DO6" t="s">
        <v>1668</v>
      </c>
      <c r="DP6">
        <v>4404</v>
      </c>
      <c r="DR6" t="s">
        <v>251</v>
      </c>
      <c r="DS6" t="s">
        <v>1668</v>
      </c>
      <c r="DT6">
        <v>4404</v>
      </c>
      <c r="DV6" t="s">
        <v>1682</v>
      </c>
      <c r="DW6" t="s">
        <v>1685</v>
      </c>
      <c r="DX6">
        <v>2627</v>
      </c>
      <c r="DZ6" t="s">
        <v>1682</v>
      </c>
      <c r="EA6" t="s">
        <v>1685</v>
      </c>
      <c r="EB6">
        <v>2627</v>
      </c>
      <c r="ED6" t="s">
        <v>1682</v>
      </c>
      <c r="EE6" t="s">
        <v>1685</v>
      </c>
      <c r="EF6">
        <v>2627</v>
      </c>
      <c r="EH6" t="s">
        <v>1682</v>
      </c>
      <c r="EI6" t="s">
        <v>1685</v>
      </c>
      <c r="EJ6">
        <v>2627</v>
      </c>
      <c r="EL6" t="s">
        <v>1682</v>
      </c>
      <c r="EM6" t="s">
        <v>1685</v>
      </c>
      <c r="EN6">
        <v>2627</v>
      </c>
      <c r="EP6" t="s">
        <v>1682</v>
      </c>
      <c r="EQ6" t="s">
        <v>1685</v>
      </c>
      <c r="ER6">
        <v>2627</v>
      </c>
      <c r="ET6" t="s">
        <v>848</v>
      </c>
      <c r="EU6" t="s">
        <v>1701</v>
      </c>
      <c r="EV6">
        <v>685</v>
      </c>
      <c r="EX6" t="s">
        <v>848</v>
      </c>
      <c r="EY6" t="s">
        <v>1701</v>
      </c>
      <c r="EZ6">
        <v>685</v>
      </c>
      <c r="FB6" t="s">
        <v>848</v>
      </c>
      <c r="FC6" t="s">
        <v>1701</v>
      </c>
      <c r="FD6">
        <v>685</v>
      </c>
      <c r="FF6" t="s">
        <v>848</v>
      </c>
      <c r="FG6" t="s">
        <v>1701</v>
      </c>
      <c r="FH6">
        <v>685</v>
      </c>
      <c r="FJ6" t="s">
        <v>848</v>
      </c>
      <c r="FK6" t="s">
        <v>1701</v>
      </c>
      <c r="FL6">
        <v>685</v>
      </c>
      <c r="FN6" t="s">
        <v>848</v>
      </c>
      <c r="FO6" t="s">
        <v>1701</v>
      </c>
      <c r="FP6">
        <v>685</v>
      </c>
      <c r="FR6" t="s">
        <v>848</v>
      </c>
      <c r="FS6" t="s">
        <v>1701</v>
      </c>
      <c r="FT6">
        <v>685</v>
      </c>
      <c r="FV6" t="s">
        <v>848</v>
      </c>
      <c r="FW6" t="s">
        <v>1701</v>
      </c>
      <c r="FX6">
        <v>685</v>
      </c>
      <c r="FZ6" t="s">
        <v>848</v>
      </c>
      <c r="GA6" t="s">
        <v>1701</v>
      </c>
      <c r="GB6">
        <v>685</v>
      </c>
      <c r="GD6" t="s">
        <v>846</v>
      </c>
      <c r="GE6" t="s">
        <v>1710</v>
      </c>
      <c r="GF6">
        <v>685</v>
      </c>
      <c r="GH6" t="s">
        <v>846</v>
      </c>
      <c r="GI6" t="s">
        <v>1710</v>
      </c>
      <c r="GJ6">
        <v>685</v>
      </c>
      <c r="GL6" t="s">
        <v>846</v>
      </c>
      <c r="GM6" t="s">
        <v>1710</v>
      </c>
      <c r="GN6">
        <v>685</v>
      </c>
      <c r="GP6" t="s">
        <v>846</v>
      </c>
      <c r="GQ6" t="s">
        <v>1710</v>
      </c>
      <c r="GR6">
        <v>685</v>
      </c>
      <c r="GT6" t="s">
        <v>846</v>
      </c>
      <c r="GU6" t="s">
        <v>1710</v>
      </c>
      <c r="GV6">
        <v>685</v>
      </c>
      <c r="GX6" t="s">
        <v>846</v>
      </c>
      <c r="GY6" t="s">
        <v>1710</v>
      </c>
      <c r="GZ6">
        <v>685</v>
      </c>
      <c r="HB6" t="s">
        <v>846</v>
      </c>
      <c r="HC6" t="s">
        <v>1710</v>
      </c>
      <c r="HD6">
        <v>685</v>
      </c>
      <c r="HF6" t="s">
        <v>1705</v>
      </c>
      <c r="HG6" t="s">
        <v>1715</v>
      </c>
      <c r="HH6">
        <v>165</v>
      </c>
      <c r="HJ6" t="s">
        <v>1705</v>
      </c>
      <c r="HK6" t="s">
        <v>1715</v>
      </c>
      <c r="HL6">
        <v>165</v>
      </c>
      <c r="HN6" t="s">
        <v>1705</v>
      </c>
      <c r="HO6" t="s">
        <v>1715</v>
      </c>
      <c r="HP6">
        <v>165</v>
      </c>
      <c r="HR6" t="s">
        <v>1096</v>
      </c>
      <c r="HS6" t="s">
        <v>1783</v>
      </c>
      <c r="HT6">
        <v>217</v>
      </c>
      <c r="HV6" t="s">
        <v>1096</v>
      </c>
      <c r="HW6" t="s">
        <v>1783</v>
      </c>
      <c r="HX6">
        <v>217</v>
      </c>
      <c r="HZ6" t="s">
        <v>1216</v>
      </c>
      <c r="IA6" t="s">
        <v>1217</v>
      </c>
      <c r="IB6">
        <v>62</v>
      </c>
      <c r="ID6" t="s">
        <v>1227</v>
      </c>
      <c r="IE6" t="s">
        <v>1800</v>
      </c>
      <c r="IF6">
        <v>644</v>
      </c>
      <c r="IH6" t="s">
        <v>1231</v>
      </c>
      <c r="II6" t="s">
        <v>1802</v>
      </c>
      <c r="IJ6">
        <v>88</v>
      </c>
      <c r="IL6" t="s">
        <v>1168</v>
      </c>
      <c r="IM6" t="s">
        <v>1806</v>
      </c>
      <c r="IN6">
        <v>361</v>
      </c>
      <c r="IP6" t="s">
        <v>1031</v>
      </c>
      <c r="IQ6" t="s">
        <v>1805</v>
      </c>
      <c r="IR6">
        <v>232</v>
      </c>
      <c r="IT6" t="s">
        <v>1168</v>
      </c>
      <c r="IU6" t="s">
        <v>1806</v>
      </c>
      <c r="IV6">
        <v>361</v>
      </c>
      <c r="IX6" t="s">
        <v>1031</v>
      </c>
      <c r="IY6" t="s">
        <v>1805</v>
      </c>
      <c r="IZ6">
        <v>232</v>
      </c>
      <c r="JB6" t="s">
        <v>1168</v>
      </c>
      <c r="JC6" t="s">
        <v>1785</v>
      </c>
      <c r="JD6">
        <v>361</v>
      </c>
      <c r="JF6" t="s">
        <v>1204</v>
      </c>
      <c r="JG6" t="s">
        <v>1792</v>
      </c>
      <c r="JH6">
        <v>598</v>
      </c>
      <c r="JJ6" t="s">
        <v>1168</v>
      </c>
      <c r="JK6" t="s">
        <v>1785</v>
      </c>
      <c r="JL6">
        <v>361</v>
      </c>
      <c r="JN6" t="s">
        <v>1204</v>
      </c>
      <c r="JO6" t="s">
        <v>1792</v>
      </c>
      <c r="JP6">
        <v>598</v>
      </c>
      <c r="JR6" t="s">
        <v>1052</v>
      </c>
      <c r="JS6" t="s">
        <v>1053</v>
      </c>
      <c r="JT6">
        <v>1133</v>
      </c>
      <c r="JV6" t="s">
        <v>1025</v>
      </c>
      <c r="JW6" t="s">
        <v>1026</v>
      </c>
      <c r="JX6">
        <v>52</v>
      </c>
      <c r="JZ6" t="s">
        <v>1025</v>
      </c>
      <c r="KA6" t="s">
        <v>1026</v>
      </c>
      <c r="KB6">
        <v>52</v>
      </c>
      <c r="KD6" t="s">
        <v>1025</v>
      </c>
      <c r="KE6" t="s">
        <v>1026</v>
      </c>
      <c r="KF6">
        <v>52</v>
      </c>
      <c r="KH6" t="s">
        <v>1025</v>
      </c>
      <c r="KI6" t="s">
        <v>1026</v>
      </c>
      <c r="KJ6">
        <v>52</v>
      </c>
      <c r="KL6" t="s">
        <v>1025</v>
      </c>
      <c r="KM6" t="s">
        <v>1026</v>
      </c>
      <c r="KN6">
        <v>52</v>
      </c>
      <c r="KP6" t="s">
        <v>1020</v>
      </c>
      <c r="KQ6" t="s">
        <v>1021</v>
      </c>
      <c r="KR6">
        <v>52</v>
      </c>
      <c r="KT6" t="s">
        <v>1019</v>
      </c>
      <c r="KU6" t="s">
        <v>1842</v>
      </c>
      <c r="KV6">
        <v>335</v>
      </c>
      <c r="KX6" t="s">
        <v>1025</v>
      </c>
      <c r="KY6" t="s">
        <v>1026</v>
      </c>
      <c r="KZ6">
        <v>52</v>
      </c>
      <c r="LB6" t="s">
        <v>1168</v>
      </c>
      <c r="LC6" t="s">
        <v>1806</v>
      </c>
      <c r="LD6">
        <v>361</v>
      </c>
      <c r="LJ6" t="s">
        <v>1900</v>
      </c>
      <c r="LK6" t="s">
        <v>1901</v>
      </c>
      <c r="LL6">
        <v>1618</v>
      </c>
      <c r="LN6" t="s">
        <v>1022</v>
      </c>
      <c r="LO6" t="s">
        <v>1911</v>
      </c>
      <c r="LP6">
        <v>93</v>
      </c>
      <c r="LR6" t="s">
        <v>971</v>
      </c>
      <c r="LS6" t="s">
        <v>972</v>
      </c>
      <c r="LT6">
        <v>0</v>
      </c>
      <c r="LZ6" t="s">
        <v>987</v>
      </c>
      <c r="MA6" t="s">
        <v>1928</v>
      </c>
      <c r="MB6">
        <v>546</v>
      </c>
      <c r="MH6" t="s">
        <v>929</v>
      </c>
      <c r="MI6" t="s">
        <v>1806</v>
      </c>
      <c r="MJ6">
        <v>361</v>
      </c>
      <c r="ML6" t="s">
        <v>929</v>
      </c>
      <c r="MM6" t="s">
        <v>1806</v>
      </c>
      <c r="MN6">
        <v>361</v>
      </c>
      <c r="MP6" t="s">
        <v>836</v>
      </c>
      <c r="MQ6" t="s">
        <v>837</v>
      </c>
      <c r="MR6">
        <v>948</v>
      </c>
      <c r="MT6" t="s">
        <v>838</v>
      </c>
      <c r="MU6" t="s">
        <v>839</v>
      </c>
      <c r="MV6">
        <v>1200</v>
      </c>
      <c r="MX6" t="s">
        <v>1393</v>
      </c>
      <c r="MY6" t="str">
        <f t="shared" si="0"/>
        <v>Sink Base Cabinet</v>
      </c>
      <c r="MZ6">
        <v>1381</v>
      </c>
      <c r="NA6" t="str">
        <f t="shared" si="1"/>
        <v>30</v>
      </c>
      <c r="NB6" t="str">
        <f t="shared" si="2"/>
        <v>34</v>
      </c>
      <c r="NC6" t="str">
        <f t="shared" si="3"/>
        <v>24</v>
      </c>
      <c r="NE6" t="s">
        <v>1968</v>
      </c>
      <c r="NF6" t="s">
        <v>1969</v>
      </c>
      <c r="NH6" t="s">
        <v>866</v>
      </c>
      <c r="NI6" t="s">
        <v>867</v>
      </c>
      <c r="NJ6">
        <v>47</v>
      </c>
      <c r="NL6" t="s">
        <v>810</v>
      </c>
      <c r="NM6" t="s">
        <v>811</v>
      </c>
      <c r="NN6">
        <v>52</v>
      </c>
      <c r="NP6" t="s">
        <v>816</v>
      </c>
      <c r="NQ6" t="s">
        <v>817</v>
      </c>
      <c r="NR6">
        <v>52</v>
      </c>
      <c r="NT6" t="s">
        <v>816</v>
      </c>
      <c r="NU6" t="s">
        <v>817</v>
      </c>
      <c r="NV6">
        <v>52</v>
      </c>
      <c r="NX6" t="s">
        <v>896</v>
      </c>
      <c r="NY6" t="s">
        <v>2033</v>
      </c>
      <c r="NZ6">
        <v>1293</v>
      </c>
      <c r="OB6" t="s">
        <v>896</v>
      </c>
      <c r="OC6" t="s">
        <v>2033</v>
      </c>
      <c r="OD6">
        <v>1293</v>
      </c>
      <c r="OF6" t="s">
        <v>114</v>
      </c>
      <c r="OG6" t="s">
        <v>1854</v>
      </c>
      <c r="OH6">
        <v>2488</v>
      </c>
      <c r="OJ6" t="s">
        <v>983</v>
      </c>
      <c r="OK6" t="s">
        <v>1889</v>
      </c>
      <c r="OL6">
        <v>866</v>
      </c>
      <c r="ON6" t="s">
        <v>981</v>
      </c>
      <c r="OO6" t="s">
        <v>1791</v>
      </c>
      <c r="OP6">
        <v>438</v>
      </c>
      <c r="OR6" t="s">
        <v>981</v>
      </c>
      <c r="OS6" t="s">
        <v>1791</v>
      </c>
      <c r="OT6">
        <v>438</v>
      </c>
      <c r="OV6" t="s">
        <v>965</v>
      </c>
      <c r="OW6" t="s">
        <v>1923</v>
      </c>
      <c r="OX6">
        <v>433</v>
      </c>
      <c r="PD6" t="s">
        <v>898</v>
      </c>
      <c r="PE6" t="s">
        <v>2061</v>
      </c>
      <c r="PF6">
        <v>1509</v>
      </c>
      <c r="PL6" t="s">
        <v>779</v>
      </c>
      <c r="PM6" t="s">
        <v>1901</v>
      </c>
      <c r="PN6">
        <v>1028</v>
      </c>
      <c r="PP6" t="s">
        <v>779</v>
      </c>
      <c r="PQ6" t="s">
        <v>1901</v>
      </c>
      <c r="PR6">
        <v>1028</v>
      </c>
      <c r="PX6" t="s">
        <v>2089</v>
      </c>
      <c r="PY6" t="s">
        <v>2090</v>
      </c>
      <c r="PZ6">
        <v>615</v>
      </c>
      <c r="QB6" t="s">
        <v>2089</v>
      </c>
      <c r="QC6" t="s">
        <v>2090</v>
      </c>
      <c r="QD6">
        <v>615</v>
      </c>
      <c r="QF6" t="s">
        <v>754</v>
      </c>
      <c r="QG6" t="s">
        <v>2284</v>
      </c>
      <c r="QH6">
        <v>325</v>
      </c>
      <c r="QJ6" t="s">
        <v>754</v>
      </c>
      <c r="QK6" t="s">
        <v>2284</v>
      </c>
      <c r="QL6">
        <v>325</v>
      </c>
      <c r="QV6" t="s">
        <v>796</v>
      </c>
      <c r="QW6" t="s">
        <v>2300</v>
      </c>
      <c r="QX6">
        <v>25</v>
      </c>
      <c r="QZ6" t="s">
        <v>796</v>
      </c>
      <c r="RA6" t="s">
        <v>2310</v>
      </c>
      <c r="RB6">
        <v>25</v>
      </c>
      <c r="RD6" t="s">
        <v>668</v>
      </c>
      <c r="RE6" t="s">
        <v>2331</v>
      </c>
      <c r="RF6">
        <v>2009</v>
      </c>
      <c r="RH6" t="s">
        <v>668</v>
      </c>
      <c r="RI6" t="s">
        <v>2331</v>
      </c>
      <c r="RJ6">
        <v>2009</v>
      </c>
      <c r="RL6" t="s">
        <v>668</v>
      </c>
      <c r="RM6" t="s">
        <v>2331</v>
      </c>
      <c r="RN6">
        <v>2009</v>
      </c>
      <c r="RP6" t="s">
        <v>668</v>
      </c>
      <c r="RQ6" t="s">
        <v>2331</v>
      </c>
      <c r="RR6">
        <v>2009</v>
      </c>
      <c r="RT6" t="s">
        <v>668</v>
      </c>
      <c r="RU6" t="s">
        <v>2331</v>
      </c>
      <c r="RV6">
        <v>2009</v>
      </c>
      <c r="RX6" t="s">
        <v>668</v>
      </c>
      <c r="RY6" t="s">
        <v>2331</v>
      </c>
      <c r="RZ6">
        <v>2009</v>
      </c>
      <c r="SB6" t="s">
        <v>668</v>
      </c>
      <c r="SC6" t="s">
        <v>2331</v>
      </c>
      <c r="SD6">
        <v>2009</v>
      </c>
      <c r="SF6" t="s">
        <v>668</v>
      </c>
      <c r="SG6" t="s">
        <v>2331</v>
      </c>
      <c r="SH6">
        <v>2009</v>
      </c>
      <c r="SJ6" t="s">
        <v>668</v>
      </c>
      <c r="SK6" t="s">
        <v>2331</v>
      </c>
      <c r="SL6">
        <v>2009</v>
      </c>
      <c r="SN6" t="s">
        <v>668</v>
      </c>
      <c r="SO6" t="s">
        <v>2331</v>
      </c>
      <c r="SP6">
        <v>2009</v>
      </c>
      <c r="SR6" t="s">
        <v>668</v>
      </c>
      <c r="SS6" t="s">
        <v>2331</v>
      </c>
      <c r="ST6">
        <v>2009</v>
      </c>
      <c r="SV6" t="s">
        <v>668</v>
      </c>
      <c r="SW6" t="s">
        <v>2331</v>
      </c>
      <c r="SX6">
        <v>2009</v>
      </c>
      <c r="SZ6" t="s">
        <v>668</v>
      </c>
      <c r="TA6" t="s">
        <v>2331</v>
      </c>
      <c r="TB6">
        <v>2009</v>
      </c>
      <c r="TD6" t="s">
        <v>668</v>
      </c>
      <c r="TE6" t="s">
        <v>2331</v>
      </c>
      <c r="TF6">
        <v>2009</v>
      </c>
      <c r="TH6" t="s">
        <v>668</v>
      </c>
      <c r="TI6" t="s">
        <v>2331</v>
      </c>
      <c r="TJ6">
        <v>2009</v>
      </c>
      <c r="TL6" t="s">
        <v>668</v>
      </c>
      <c r="TM6" t="s">
        <v>2331</v>
      </c>
      <c r="TN6">
        <v>2009</v>
      </c>
      <c r="TP6" t="s">
        <v>449</v>
      </c>
      <c r="TQ6" t="s">
        <v>2350</v>
      </c>
      <c r="TR6">
        <v>165</v>
      </c>
      <c r="TT6" t="s">
        <v>449</v>
      </c>
      <c r="TU6" t="s">
        <v>2350</v>
      </c>
      <c r="TV6">
        <v>165</v>
      </c>
      <c r="TX6" t="s">
        <v>449</v>
      </c>
      <c r="TY6" t="s">
        <v>2350</v>
      </c>
      <c r="TZ6">
        <v>165</v>
      </c>
      <c r="UB6" t="s">
        <v>449</v>
      </c>
      <c r="UC6" t="s">
        <v>2350</v>
      </c>
      <c r="UD6">
        <v>165</v>
      </c>
      <c r="UF6" t="s">
        <v>451</v>
      </c>
      <c r="UG6" t="s">
        <v>2351</v>
      </c>
      <c r="UH6">
        <v>181</v>
      </c>
      <c r="UJ6" t="s">
        <v>469</v>
      </c>
      <c r="UK6" t="s">
        <v>2354</v>
      </c>
      <c r="UL6">
        <v>824</v>
      </c>
      <c r="UN6" t="s">
        <v>469</v>
      </c>
      <c r="UO6" t="s">
        <v>2354</v>
      </c>
      <c r="UP6">
        <v>824</v>
      </c>
      <c r="UR6" t="s">
        <v>469</v>
      </c>
      <c r="US6" t="s">
        <v>2354</v>
      </c>
      <c r="UT6">
        <v>824</v>
      </c>
      <c r="UV6" t="s">
        <v>494</v>
      </c>
      <c r="UW6" t="s">
        <v>2378</v>
      </c>
      <c r="UX6">
        <v>881</v>
      </c>
      <c r="UZ6" t="s">
        <v>494</v>
      </c>
      <c r="VA6" t="s">
        <v>2378</v>
      </c>
      <c r="VB6">
        <v>881</v>
      </c>
      <c r="VT6" t="s">
        <v>459</v>
      </c>
      <c r="VU6" t="s">
        <v>460</v>
      </c>
      <c r="VV6">
        <v>-181</v>
      </c>
      <c r="VX6" t="s">
        <v>524</v>
      </c>
      <c r="VY6" t="s">
        <v>2377</v>
      </c>
      <c r="VZ6">
        <v>52</v>
      </c>
      <c r="WB6" t="s">
        <v>471</v>
      </c>
      <c r="WC6" t="s">
        <v>2382</v>
      </c>
      <c r="WD6">
        <v>758</v>
      </c>
      <c r="WF6" t="s">
        <v>475</v>
      </c>
      <c r="WG6" t="s">
        <v>2383</v>
      </c>
      <c r="WH6">
        <v>938</v>
      </c>
      <c r="WV6" t="s">
        <v>574</v>
      </c>
      <c r="WW6" t="s">
        <v>2402</v>
      </c>
      <c r="WX6">
        <v>52</v>
      </c>
      <c r="WZ6" t="s">
        <v>471</v>
      </c>
      <c r="XA6" t="s">
        <v>2382</v>
      </c>
      <c r="XB6">
        <v>758</v>
      </c>
      <c r="XD6" t="s">
        <v>574</v>
      </c>
      <c r="XE6" t="s">
        <v>2402</v>
      </c>
      <c r="XF6">
        <v>52</v>
      </c>
      <c r="XH6" t="s">
        <v>471</v>
      </c>
      <c r="XI6" t="s">
        <v>2382</v>
      </c>
      <c r="XJ6">
        <v>758</v>
      </c>
      <c r="XL6" t="s">
        <v>471</v>
      </c>
      <c r="XM6" t="s">
        <v>2382</v>
      </c>
      <c r="XN6">
        <v>758</v>
      </c>
      <c r="XP6" t="s">
        <v>574</v>
      </c>
      <c r="XQ6" t="s">
        <v>2402</v>
      </c>
      <c r="XR6">
        <v>52</v>
      </c>
      <c r="XT6" t="s">
        <v>574</v>
      </c>
      <c r="XU6" t="s">
        <v>2402</v>
      </c>
      <c r="XV6">
        <v>52</v>
      </c>
      <c r="XX6" t="s">
        <v>568</v>
      </c>
      <c r="XY6" t="s">
        <v>2408</v>
      </c>
      <c r="XZ6">
        <v>196</v>
      </c>
      <c r="YB6" t="s">
        <v>568</v>
      </c>
      <c r="YC6" t="s">
        <v>2408</v>
      </c>
      <c r="YD6">
        <v>196</v>
      </c>
      <c r="YF6" t="s">
        <v>598</v>
      </c>
      <c r="YG6" t="s">
        <v>2381</v>
      </c>
      <c r="YH6">
        <v>258</v>
      </c>
      <c r="YJ6" t="s">
        <v>568</v>
      </c>
      <c r="YK6" t="s">
        <v>2408</v>
      </c>
      <c r="YL6">
        <v>196</v>
      </c>
      <c r="YN6" t="s">
        <v>568</v>
      </c>
      <c r="YO6" t="s">
        <v>2408</v>
      </c>
      <c r="YP6">
        <v>196</v>
      </c>
      <c r="YR6" t="s">
        <v>570</v>
      </c>
      <c r="YS6" t="s">
        <v>2411</v>
      </c>
      <c r="YT6">
        <v>48</v>
      </c>
      <c r="YV6" t="s">
        <v>570</v>
      </c>
      <c r="YW6" t="s">
        <v>2411</v>
      </c>
      <c r="YX6">
        <v>48</v>
      </c>
      <c r="YZ6" t="s">
        <v>570</v>
      </c>
      <c r="ZA6" t="s">
        <v>2411</v>
      </c>
      <c r="ZB6">
        <v>48</v>
      </c>
      <c r="ZD6" t="s">
        <v>568</v>
      </c>
      <c r="ZE6" t="s">
        <v>2408</v>
      </c>
      <c r="ZF6">
        <v>196</v>
      </c>
      <c r="ZH6" t="s">
        <v>568</v>
      </c>
      <c r="ZI6" t="s">
        <v>2408</v>
      </c>
      <c r="ZJ6">
        <v>196</v>
      </c>
      <c r="ZL6" t="s">
        <v>568</v>
      </c>
      <c r="ZM6" t="s">
        <v>2408</v>
      </c>
      <c r="ZN6">
        <v>196</v>
      </c>
      <c r="ZP6" t="s">
        <v>568</v>
      </c>
      <c r="ZQ6" t="s">
        <v>2408</v>
      </c>
      <c r="ZR6">
        <v>196</v>
      </c>
      <c r="ZT6" t="s">
        <v>568</v>
      </c>
      <c r="ZU6" t="s">
        <v>2408</v>
      </c>
      <c r="ZV6">
        <v>196</v>
      </c>
      <c r="ZX6" t="s">
        <v>570</v>
      </c>
      <c r="ZY6" t="s">
        <v>2411</v>
      </c>
      <c r="ZZ6">
        <v>48</v>
      </c>
      <c r="AAB6" t="s">
        <v>570</v>
      </c>
      <c r="AAC6" t="s">
        <v>2411</v>
      </c>
      <c r="AAD6">
        <v>48</v>
      </c>
      <c r="AAF6" t="s">
        <v>570</v>
      </c>
      <c r="AAG6" t="s">
        <v>2411</v>
      </c>
      <c r="AAH6">
        <v>48</v>
      </c>
      <c r="AAJ6" t="s">
        <v>568</v>
      </c>
      <c r="AAK6" t="s">
        <v>2408</v>
      </c>
      <c r="AAL6">
        <v>196</v>
      </c>
      <c r="AAN6" t="s">
        <v>568</v>
      </c>
      <c r="AAO6" t="s">
        <v>2408</v>
      </c>
      <c r="AAP6">
        <v>196</v>
      </c>
      <c r="AAZ6" t="s">
        <v>598</v>
      </c>
      <c r="ABA6" t="s">
        <v>2381</v>
      </c>
      <c r="ABB6">
        <v>258</v>
      </c>
    </row>
    <row r="7" spans="1:734">
      <c r="A7" t="s">
        <v>1603</v>
      </c>
      <c r="B7" t="s">
        <v>1602</v>
      </c>
      <c r="C7">
        <v>191</v>
      </c>
      <c r="E7" s="103" t="s">
        <v>1506</v>
      </c>
      <c r="G7" s="47" t="s">
        <v>344</v>
      </c>
      <c r="H7" s="164"/>
      <c r="J7" s="164"/>
      <c r="K7" s="159" t="s">
        <v>1721</v>
      </c>
      <c r="L7" s="164"/>
      <c r="M7" s="162">
        <v>101</v>
      </c>
      <c r="N7" s="166"/>
      <c r="O7" s="154" t="s">
        <v>208</v>
      </c>
      <c r="P7" s="164"/>
      <c r="Q7" s="151" t="s">
        <v>281</v>
      </c>
      <c r="S7" s="51" t="s">
        <v>416</v>
      </c>
      <c r="Y7" t="s">
        <v>1603</v>
      </c>
      <c r="Z7" t="s">
        <v>1602</v>
      </c>
      <c r="AA7">
        <v>191</v>
      </c>
      <c r="AC7" t="s">
        <v>1598</v>
      </c>
      <c r="AD7" t="s">
        <v>1609</v>
      </c>
      <c r="AE7">
        <v>526</v>
      </c>
      <c r="CD7" t="s">
        <v>423</v>
      </c>
      <c r="CE7" t="s">
        <v>424</v>
      </c>
      <c r="CF7">
        <v>134</v>
      </c>
      <c r="CH7" t="s">
        <v>423</v>
      </c>
      <c r="CI7" t="s">
        <v>424</v>
      </c>
      <c r="CJ7">
        <v>134</v>
      </c>
      <c r="CL7" t="s">
        <v>423</v>
      </c>
      <c r="CM7" t="s">
        <v>424</v>
      </c>
      <c r="CN7">
        <v>134</v>
      </c>
      <c r="CP7" t="s">
        <v>423</v>
      </c>
      <c r="CQ7" t="s">
        <v>424</v>
      </c>
      <c r="CR7">
        <v>134</v>
      </c>
      <c r="CT7" t="s">
        <v>423</v>
      </c>
      <c r="CU7" t="s">
        <v>424</v>
      </c>
      <c r="CV7">
        <v>134</v>
      </c>
      <c r="CX7" t="s">
        <v>423</v>
      </c>
      <c r="CY7" t="s">
        <v>424</v>
      </c>
      <c r="CZ7">
        <v>134</v>
      </c>
      <c r="DB7" t="s">
        <v>267</v>
      </c>
      <c r="DC7" t="s">
        <v>1669</v>
      </c>
      <c r="DD7">
        <v>1990</v>
      </c>
      <c r="DF7" t="s">
        <v>1676</v>
      </c>
      <c r="DG7" t="s">
        <v>1669</v>
      </c>
      <c r="DH7">
        <v>1990</v>
      </c>
      <c r="DJ7" t="s">
        <v>1676</v>
      </c>
      <c r="DK7" t="s">
        <v>1669</v>
      </c>
      <c r="DL7">
        <v>1990</v>
      </c>
      <c r="DN7" t="s">
        <v>1676</v>
      </c>
      <c r="DO7" t="s">
        <v>1669</v>
      </c>
      <c r="DP7">
        <v>1990</v>
      </c>
      <c r="DR7" t="s">
        <v>1676</v>
      </c>
      <c r="DS7" t="s">
        <v>1669</v>
      </c>
      <c r="DT7">
        <v>1990</v>
      </c>
      <c r="DV7" t="s">
        <v>1683</v>
      </c>
      <c r="DW7" t="s">
        <v>1686</v>
      </c>
      <c r="DX7">
        <v>4404</v>
      </c>
      <c r="DZ7" t="s">
        <v>1683</v>
      </c>
      <c r="EA7" t="s">
        <v>1686</v>
      </c>
      <c r="EB7">
        <v>4404</v>
      </c>
      <c r="ED7" t="s">
        <v>1683</v>
      </c>
      <c r="EE7" t="s">
        <v>1686</v>
      </c>
      <c r="EF7">
        <v>4404</v>
      </c>
      <c r="EH7" t="s">
        <v>1683</v>
      </c>
      <c r="EI7" t="s">
        <v>1686</v>
      </c>
      <c r="EJ7">
        <v>4404</v>
      </c>
      <c r="EL7" t="s">
        <v>1683</v>
      </c>
      <c r="EM7" t="s">
        <v>1686</v>
      </c>
      <c r="EN7">
        <v>4404</v>
      </c>
      <c r="EP7" t="s">
        <v>1683</v>
      </c>
      <c r="EQ7" t="s">
        <v>1686</v>
      </c>
      <c r="ER7">
        <v>4404</v>
      </c>
      <c r="ET7" t="s">
        <v>852</v>
      </c>
      <c r="EU7" t="s">
        <v>1702</v>
      </c>
      <c r="EV7">
        <v>685</v>
      </c>
      <c r="EX7" t="s">
        <v>852</v>
      </c>
      <c r="EY7" t="s">
        <v>1702</v>
      </c>
      <c r="EZ7">
        <v>685</v>
      </c>
      <c r="FB7" t="s">
        <v>852</v>
      </c>
      <c r="FC7" t="s">
        <v>1702</v>
      </c>
      <c r="FD7">
        <v>685</v>
      </c>
      <c r="FF7" t="s">
        <v>852</v>
      </c>
      <c r="FG7" t="s">
        <v>1702</v>
      </c>
      <c r="FH7">
        <v>685</v>
      </c>
      <c r="FJ7" t="s">
        <v>852</v>
      </c>
      <c r="FK7" t="s">
        <v>1702</v>
      </c>
      <c r="FL7">
        <v>685</v>
      </c>
      <c r="FN7" t="s">
        <v>852</v>
      </c>
      <c r="FO7" t="s">
        <v>1702</v>
      </c>
      <c r="FP7">
        <v>685</v>
      </c>
      <c r="FR7" t="s">
        <v>852</v>
      </c>
      <c r="FS7" t="s">
        <v>1702</v>
      </c>
      <c r="FT7">
        <v>685</v>
      </c>
      <c r="FV7" t="s">
        <v>852</v>
      </c>
      <c r="FW7" t="s">
        <v>1702</v>
      </c>
      <c r="FX7">
        <v>685</v>
      </c>
      <c r="FZ7" t="s">
        <v>852</v>
      </c>
      <c r="GA7" t="s">
        <v>1702</v>
      </c>
      <c r="GB7">
        <v>685</v>
      </c>
      <c r="GD7" t="s">
        <v>850</v>
      </c>
      <c r="GE7" t="s">
        <v>1711</v>
      </c>
      <c r="GF7">
        <v>685</v>
      </c>
      <c r="GH7" t="s">
        <v>850</v>
      </c>
      <c r="GI7" t="s">
        <v>1711</v>
      </c>
      <c r="GJ7">
        <v>685</v>
      </c>
      <c r="GL7" t="s">
        <v>850</v>
      </c>
      <c r="GM7" t="s">
        <v>1711</v>
      </c>
      <c r="GN7">
        <v>685</v>
      </c>
      <c r="GP7" t="s">
        <v>850</v>
      </c>
      <c r="GQ7" t="s">
        <v>1711</v>
      </c>
      <c r="GR7">
        <v>685</v>
      </c>
      <c r="GT7" t="s">
        <v>850</v>
      </c>
      <c r="GU7" t="s">
        <v>1711</v>
      </c>
      <c r="GV7">
        <v>685</v>
      </c>
      <c r="GX7" t="s">
        <v>850</v>
      </c>
      <c r="GY7" t="s">
        <v>1711</v>
      </c>
      <c r="GZ7">
        <v>685</v>
      </c>
      <c r="HB7" t="s">
        <v>850</v>
      </c>
      <c r="HC7" t="s">
        <v>1711</v>
      </c>
      <c r="HD7">
        <v>685</v>
      </c>
      <c r="HF7" t="s">
        <v>1713</v>
      </c>
      <c r="HG7" t="s">
        <v>1716</v>
      </c>
      <c r="HH7">
        <v>474</v>
      </c>
      <c r="HJ7" t="s">
        <v>1713</v>
      </c>
      <c r="HK7" t="s">
        <v>1716</v>
      </c>
      <c r="HL7">
        <v>474</v>
      </c>
      <c r="HN7" t="s">
        <v>1713</v>
      </c>
      <c r="HO7" t="s">
        <v>1716</v>
      </c>
      <c r="HP7">
        <v>474</v>
      </c>
      <c r="HR7" t="s">
        <v>1196</v>
      </c>
      <c r="HS7" t="s">
        <v>1784</v>
      </c>
      <c r="HT7">
        <v>0</v>
      </c>
      <c r="HV7" t="s">
        <v>1196</v>
      </c>
      <c r="HW7" t="s">
        <v>1784</v>
      </c>
      <c r="HX7">
        <v>0</v>
      </c>
      <c r="HZ7" t="s">
        <v>1231</v>
      </c>
      <c r="IA7" t="s">
        <v>1802</v>
      </c>
      <c r="IB7">
        <v>88</v>
      </c>
      <c r="ID7" t="s">
        <v>1078</v>
      </c>
      <c r="IE7" t="s">
        <v>1801</v>
      </c>
      <c r="IF7">
        <v>47</v>
      </c>
      <c r="IL7" t="s">
        <v>1198</v>
      </c>
      <c r="IM7" t="s">
        <v>1786</v>
      </c>
      <c r="IN7">
        <v>325</v>
      </c>
      <c r="IP7" t="s">
        <v>1196</v>
      </c>
      <c r="IQ7" t="s">
        <v>972</v>
      </c>
      <c r="IR7">
        <v>0</v>
      </c>
      <c r="IT7" t="s">
        <v>1198</v>
      </c>
      <c r="IU7" t="s">
        <v>1786</v>
      </c>
      <c r="IV7">
        <v>325</v>
      </c>
      <c r="IX7" t="s">
        <v>1196</v>
      </c>
      <c r="IY7" t="s">
        <v>972</v>
      </c>
      <c r="IZ7">
        <v>0</v>
      </c>
      <c r="JB7" t="s">
        <v>1198</v>
      </c>
      <c r="JC7" t="s">
        <v>1786</v>
      </c>
      <c r="JD7">
        <v>325</v>
      </c>
      <c r="JF7" t="s">
        <v>1212</v>
      </c>
      <c r="JG7" t="s">
        <v>1793</v>
      </c>
      <c r="JH7">
        <v>907</v>
      </c>
      <c r="JJ7" t="s">
        <v>1198</v>
      </c>
      <c r="JK7" t="s">
        <v>1786</v>
      </c>
      <c r="JL7">
        <v>325</v>
      </c>
      <c r="JN7" t="s">
        <v>1212</v>
      </c>
      <c r="JO7" t="s">
        <v>1793</v>
      </c>
      <c r="JP7">
        <v>907</v>
      </c>
      <c r="JR7" t="s">
        <v>1058</v>
      </c>
      <c r="JS7" t="s">
        <v>1703</v>
      </c>
      <c r="JT7">
        <v>685</v>
      </c>
      <c r="JV7" t="s">
        <v>1084</v>
      </c>
      <c r="JW7" t="s">
        <v>1843</v>
      </c>
      <c r="JX7">
        <v>47</v>
      </c>
      <c r="JZ7" t="s">
        <v>1084</v>
      </c>
      <c r="KA7" t="s">
        <v>1843</v>
      </c>
      <c r="KB7">
        <v>47</v>
      </c>
      <c r="KD7" t="s">
        <v>1070</v>
      </c>
      <c r="KE7" t="s">
        <v>1072</v>
      </c>
      <c r="KF7">
        <v>299</v>
      </c>
      <c r="KH7" t="s">
        <v>1070</v>
      </c>
      <c r="KI7" t="s">
        <v>1072</v>
      </c>
      <c r="KJ7">
        <v>299</v>
      </c>
      <c r="KL7" t="s">
        <v>1091</v>
      </c>
      <c r="KM7" t="s">
        <v>1092</v>
      </c>
      <c r="KN7">
        <v>47</v>
      </c>
      <c r="KP7" t="s">
        <v>1025</v>
      </c>
      <c r="KQ7" t="s">
        <v>1026</v>
      </c>
      <c r="KR7">
        <v>52</v>
      </c>
      <c r="KT7" t="s">
        <v>1020</v>
      </c>
      <c r="KU7" t="s">
        <v>1021</v>
      </c>
      <c r="KV7">
        <v>52</v>
      </c>
      <c r="KX7" t="s">
        <v>1091</v>
      </c>
      <c r="KY7" t="s">
        <v>1092</v>
      </c>
      <c r="KZ7">
        <v>47</v>
      </c>
      <c r="LB7" t="s">
        <v>1196</v>
      </c>
      <c r="LC7" t="s">
        <v>1784</v>
      </c>
      <c r="LD7">
        <v>0</v>
      </c>
      <c r="LJ7" t="s">
        <v>1903</v>
      </c>
      <c r="LK7" t="s">
        <v>1902</v>
      </c>
      <c r="LL7">
        <v>2122</v>
      </c>
      <c r="LN7" t="s">
        <v>1023</v>
      </c>
      <c r="LO7" t="s">
        <v>1912</v>
      </c>
      <c r="LP7">
        <v>346</v>
      </c>
      <c r="LR7" t="s">
        <v>973</v>
      </c>
      <c r="LS7" t="s">
        <v>1786</v>
      </c>
      <c r="LT7">
        <v>325</v>
      </c>
      <c r="LZ7" t="s">
        <v>862</v>
      </c>
      <c r="MA7" t="s">
        <v>867</v>
      </c>
      <c r="MB7">
        <v>47</v>
      </c>
      <c r="MH7" t="s">
        <v>973</v>
      </c>
      <c r="MI7" t="s">
        <v>1786</v>
      </c>
      <c r="MJ7">
        <v>325</v>
      </c>
      <c r="ML7" t="s">
        <v>973</v>
      </c>
      <c r="MM7" t="s">
        <v>1786</v>
      </c>
      <c r="MN7">
        <v>325</v>
      </c>
      <c r="MP7" t="s">
        <v>848</v>
      </c>
      <c r="MQ7" t="s">
        <v>1934</v>
      </c>
      <c r="MR7">
        <v>685</v>
      </c>
      <c r="MX7" t="s">
        <v>1355</v>
      </c>
      <c r="MY7" t="str">
        <f t="shared" si="0"/>
        <v>Blind Corner Base</v>
      </c>
      <c r="MZ7">
        <v>1180</v>
      </c>
      <c r="NA7" t="str">
        <f t="shared" si="1"/>
        <v>39</v>
      </c>
      <c r="NB7" t="str">
        <f t="shared" si="2"/>
        <v>34</v>
      </c>
      <c r="NC7" t="str">
        <f t="shared" si="3"/>
        <v>24</v>
      </c>
      <c r="NE7" t="s">
        <v>1957</v>
      </c>
      <c r="NF7" t="s">
        <v>1970</v>
      </c>
      <c r="NH7" t="s">
        <v>890</v>
      </c>
      <c r="NI7" t="s">
        <v>1997</v>
      </c>
      <c r="NJ7">
        <v>989</v>
      </c>
      <c r="NL7" t="s">
        <v>816</v>
      </c>
      <c r="NM7" t="s">
        <v>817</v>
      </c>
      <c r="NN7">
        <v>52</v>
      </c>
      <c r="NP7" t="s">
        <v>840</v>
      </c>
      <c r="NQ7" t="s">
        <v>2003</v>
      </c>
      <c r="NR7">
        <v>624</v>
      </c>
      <c r="NT7" t="s">
        <v>840</v>
      </c>
      <c r="NU7" t="s">
        <v>2003</v>
      </c>
      <c r="NV7">
        <v>624</v>
      </c>
      <c r="NX7" t="s">
        <v>920</v>
      </c>
      <c r="NY7" t="s">
        <v>2032</v>
      </c>
      <c r="NZ7">
        <v>1937</v>
      </c>
      <c r="OB7" t="s">
        <v>920</v>
      </c>
      <c r="OC7" t="s">
        <v>2032</v>
      </c>
      <c r="OD7">
        <v>1937</v>
      </c>
      <c r="OF7" t="s">
        <v>748</v>
      </c>
      <c r="OG7" t="s">
        <v>1855</v>
      </c>
      <c r="OH7">
        <v>109</v>
      </c>
      <c r="OJ7" t="s">
        <v>112</v>
      </c>
      <c r="OK7" t="s">
        <v>1853</v>
      </c>
      <c r="OL7">
        <v>3595</v>
      </c>
      <c r="ON7" t="s">
        <v>997</v>
      </c>
      <c r="OO7" t="s">
        <v>1861</v>
      </c>
      <c r="OP7">
        <v>284</v>
      </c>
      <c r="OR7" t="s">
        <v>997</v>
      </c>
      <c r="OS7" t="s">
        <v>1861</v>
      </c>
      <c r="OT7">
        <v>284</v>
      </c>
      <c r="OV7" t="s">
        <v>967</v>
      </c>
      <c r="OW7" t="s">
        <v>2058</v>
      </c>
      <c r="OX7">
        <v>598</v>
      </c>
      <c r="PD7" t="s">
        <v>922</v>
      </c>
      <c r="PE7" t="s">
        <v>2062</v>
      </c>
      <c r="PF7">
        <v>2107</v>
      </c>
      <c r="PL7" t="s">
        <v>798</v>
      </c>
      <c r="PM7" t="s">
        <v>799</v>
      </c>
      <c r="PN7">
        <v>258</v>
      </c>
      <c r="PP7" t="s">
        <v>798</v>
      </c>
      <c r="PQ7" t="s">
        <v>799</v>
      </c>
      <c r="PR7">
        <v>258</v>
      </c>
      <c r="PX7" t="s">
        <v>783</v>
      </c>
      <c r="PY7" t="s">
        <v>1901</v>
      </c>
      <c r="PZ7">
        <v>974</v>
      </c>
      <c r="QB7" t="s">
        <v>783</v>
      </c>
      <c r="QC7" t="s">
        <v>1901</v>
      </c>
      <c r="QD7">
        <v>974</v>
      </c>
      <c r="QF7" t="s">
        <v>769</v>
      </c>
      <c r="QG7" t="s">
        <v>2285</v>
      </c>
      <c r="QH7">
        <v>88</v>
      </c>
      <c r="QJ7" t="s">
        <v>769</v>
      </c>
      <c r="QK7" t="s">
        <v>2285</v>
      </c>
      <c r="QL7">
        <v>88</v>
      </c>
      <c r="QV7" t="s">
        <v>756</v>
      </c>
      <c r="QW7" t="s">
        <v>2301</v>
      </c>
      <c r="QX7">
        <v>0</v>
      </c>
      <c r="QZ7" t="s">
        <v>793</v>
      </c>
      <c r="RA7" t="s">
        <v>2302</v>
      </c>
      <c r="RB7">
        <v>810</v>
      </c>
      <c r="RD7" t="s">
        <v>670</v>
      </c>
      <c r="RE7" t="s">
        <v>2332</v>
      </c>
      <c r="RF7">
        <v>2982</v>
      </c>
      <c r="RH7" t="s">
        <v>670</v>
      </c>
      <c r="RI7" t="s">
        <v>2332</v>
      </c>
      <c r="RJ7">
        <v>2982</v>
      </c>
      <c r="RL7" t="s">
        <v>670</v>
      </c>
      <c r="RM7" t="s">
        <v>2332</v>
      </c>
      <c r="RN7">
        <v>2982</v>
      </c>
      <c r="RP7" t="s">
        <v>670</v>
      </c>
      <c r="RQ7" t="s">
        <v>2332</v>
      </c>
      <c r="RR7">
        <v>2982</v>
      </c>
      <c r="RT7" t="s">
        <v>670</v>
      </c>
      <c r="RU7" t="s">
        <v>2332</v>
      </c>
      <c r="RV7">
        <v>2982</v>
      </c>
      <c r="RX7" t="s">
        <v>670</v>
      </c>
      <c r="RY7" t="s">
        <v>2332</v>
      </c>
      <c r="RZ7">
        <v>2982</v>
      </c>
      <c r="SB7" t="s">
        <v>670</v>
      </c>
      <c r="SC7" t="s">
        <v>2332</v>
      </c>
      <c r="SD7">
        <v>2982</v>
      </c>
      <c r="SF7" t="s">
        <v>670</v>
      </c>
      <c r="SG7" t="s">
        <v>2332</v>
      </c>
      <c r="SH7">
        <v>2982</v>
      </c>
      <c r="SJ7" t="s">
        <v>670</v>
      </c>
      <c r="SK7" t="s">
        <v>2332</v>
      </c>
      <c r="SL7">
        <v>2982</v>
      </c>
      <c r="SN7" t="s">
        <v>670</v>
      </c>
      <c r="SO7" t="s">
        <v>2332</v>
      </c>
      <c r="SP7">
        <v>2982</v>
      </c>
      <c r="SR7" t="s">
        <v>670</v>
      </c>
      <c r="SS7" t="s">
        <v>2332</v>
      </c>
      <c r="ST7">
        <v>2982</v>
      </c>
      <c r="SV7" t="s">
        <v>670</v>
      </c>
      <c r="SW7" t="s">
        <v>2332</v>
      </c>
      <c r="SX7">
        <v>2982</v>
      </c>
      <c r="SZ7" t="s">
        <v>670</v>
      </c>
      <c r="TA7" t="s">
        <v>2332</v>
      </c>
      <c r="TB7">
        <v>2982</v>
      </c>
      <c r="TD7" t="s">
        <v>670</v>
      </c>
      <c r="TE7" t="s">
        <v>2332</v>
      </c>
      <c r="TF7">
        <v>2982</v>
      </c>
      <c r="TH7" t="s">
        <v>670</v>
      </c>
      <c r="TI7" t="s">
        <v>2332</v>
      </c>
      <c r="TJ7">
        <v>2982</v>
      </c>
      <c r="TL7" t="s">
        <v>670</v>
      </c>
      <c r="TM7" t="s">
        <v>2332</v>
      </c>
      <c r="TN7">
        <v>2982</v>
      </c>
      <c r="TP7" t="s">
        <v>451</v>
      </c>
      <c r="TQ7" t="s">
        <v>2351</v>
      </c>
      <c r="TR7">
        <v>181</v>
      </c>
      <c r="TT7" t="s">
        <v>451</v>
      </c>
      <c r="TU7" t="s">
        <v>2351</v>
      </c>
      <c r="TV7">
        <v>181</v>
      </c>
      <c r="TX7" t="s">
        <v>451</v>
      </c>
      <c r="TY7" t="s">
        <v>2351</v>
      </c>
      <c r="TZ7">
        <v>181</v>
      </c>
      <c r="UB7" t="s">
        <v>451</v>
      </c>
      <c r="UC7" t="s">
        <v>2351</v>
      </c>
      <c r="UD7">
        <v>181</v>
      </c>
      <c r="UF7" t="s">
        <v>453</v>
      </c>
      <c r="UG7" t="s">
        <v>2352</v>
      </c>
      <c r="UH7">
        <v>-165</v>
      </c>
      <c r="UJ7" t="s">
        <v>473</v>
      </c>
      <c r="UK7" t="s">
        <v>2374</v>
      </c>
      <c r="UL7">
        <v>1005</v>
      </c>
      <c r="UN7" t="s">
        <v>473</v>
      </c>
      <c r="UO7" t="s">
        <v>2374</v>
      </c>
      <c r="UP7">
        <v>1005</v>
      </c>
      <c r="UR7" t="s">
        <v>473</v>
      </c>
      <c r="US7" t="s">
        <v>2374</v>
      </c>
      <c r="UT7">
        <v>1005</v>
      </c>
      <c r="UV7" t="s">
        <v>572</v>
      </c>
      <c r="UW7" t="s">
        <v>2379</v>
      </c>
      <c r="UX7">
        <v>33</v>
      </c>
      <c r="UZ7" t="s">
        <v>572</v>
      </c>
      <c r="VA7" t="s">
        <v>2379</v>
      </c>
      <c r="VB7">
        <v>33</v>
      </c>
      <c r="VT7" t="s">
        <v>471</v>
      </c>
      <c r="VU7" t="s">
        <v>2382</v>
      </c>
      <c r="VV7">
        <v>758</v>
      </c>
      <c r="VX7" t="s">
        <v>481</v>
      </c>
      <c r="VY7" t="s">
        <v>2384</v>
      </c>
      <c r="VZ7">
        <v>248</v>
      </c>
      <c r="WB7" t="s">
        <v>475</v>
      </c>
      <c r="WC7" t="s">
        <v>2383</v>
      </c>
      <c r="WD7">
        <v>938</v>
      </c>
      <c r="WV7" t="s">
        <v>471</v>
      </c>
      <c r="WW7" t="s">
        <v>2382</v>
      </c>
      <c r="WX7">
        <v>758</v>
      </c>
      <c r="WZ7" t="s">
        <v>475</v>
      </c>
      <c r="XA7" t="s">
        <v>2383</v>
      </c>
      <c r="XB7">
        <v>938</v>
      </c>
      <c r="XD7" t="s">
        <v>471</v>
      </c>
      <c r="XE7" t="s">
        <v>2382</v>
      </c>
      <c r="XF7">
        <v>758</v>
      </c>
      <c r="XH7" t="s">
        <v>475</v>
      </c>
      <c r="XI7" t="s">
        <v>2383</v>
      </c>
      <c r="XJ7">
        <v>938</v>
      </c>
      <c r="XL7" t="s">
        <v>475</v>
      </c>
      <c r="XM7" t="s">
        <v>2383</v>
      </c>
      <c r="XN7">
        <v>938</v>
      </c>
      <c r="XP7" t="s">
        <v>570</v>
      </c>
      <c r="XQ7" t="s">
        <v>2403</v>
      </c>
      <c r="XR7">
        <v>48</v>
      </c>
      <c r="XT7" t="s">
        <v>570</v>
      </c>
      <c r="XU7" t="s">
        <v>2403</v>
      </c>
      <c r="XV7">
        <v>48</v>
      </c>
      <c r="XX7" t="s">
        <v>572</v>
      </c>
      <c r="XY7" t="s">
        <v>2409</v>
      </c>
      <c r="XZ7">
        <v>33</v>
      </c>
      <c r="YB7" t="s">
        <v>572</v>
      </c>
      <c r="YC7" t="s">
        <v>2409</v>
      </c>
      <c r="YD7">
        <v>33</v>
      </c>
      <c r="YF7" t="s">
        <v>556</v>
      </c>
      <c r="YG7" t="s">
        <v>2410</v>
      </c>
      <c r="YH7">
        <v>78</v>
      </c>
      <c r="YR7" t="s">
        <v>2405</v>
      </c>
      <c r="YS7" t="s">
        <v>2406</v>
      </c>
      <c r="YT7">
        <v>275</v>
      </c>
      <c r="YV7" t="s">
        <v>2405</v>
      </c>
      <c r="YW7" t="s">
        <v>2406</v>
      </c>
      <c r="YX7">
        <v>275</v>
      </c>
      <c r="YZ7" t="s">
        <v>2405</v>
      </c>
      <c r="ZA7" t="s">
        <v>2406</v>
      </c>
      <c r="ZB7">
        <v>275</v>
      </c>
      <c r="ZD7" t="s">
        <v>2405</v>
      </c>
      <c r="ZE7" t="s">
        <v>2406</v>
      </c>
      <c r="ZF7">
        <v>275</v>
      </c>
      <c r="ZH7" t="s">
        <v>2405</v>
      </c>
      <c r="ZI7" t="s">
        <v>2406</v>
      </c>
      <c r="ZJ7">
        <v>275</v>
      </c>
      <c r="ZL7" t="s">
        <v>2405</v>
      </c>
      <c r="ZM7" t="s">
        <v>2406</v>
      </c>
      <c r="ZN7">
        <v>275</v>
      </c>
      <c r="ZP7" t="s">
        <v>2405</v>
      </c>
      <c r="ZQ7" t="s">
        <v>2406</v>
      </c>
      <c r="ZR7">
        <v>275</v>
      </c>
      <c r="ZT7" t="s">
        <v>2405</v>
      </c>
      <c r="ZU7" t="s">
        <v>2406</v>
      </c>
      <c r="ZV7">
        <v>275</v>
      </c>
      <c r="ZX7" t="s">
        <v>552</v>
      </c>
      <c r="ZY7" t="s">
        <v>2401</v>
      </c>
      <c r="ZZ7">
        <v>552</v>
      </c>
      <c r="AAF7" t="s">
        <v>552</v>
      </c>
      <c r="AAG7" t="s">
        <v>2401</v>
      </c>
      <c r="AAH7">
        <v>552</v>
      </c>
      <c r="AAZ7" t="s">
        <v>556</v>
      </c>
      <c r="ABA7" t="s">
        <v>2410</v>
      </c>
      <c r="ABB7">
        <v>78</v>
      </c>
    </row>
    <row r="8" spans="1:734">
      <c r="A8" t="s">
        <v>1604</v>
      </c>
      <c r="B8" t="s">
        <v>1602</v>
      </c>
      <c r="C8">
        <v>268</v>
      </c>
      <c r="E8" s="103" t="s">
        <v>1501</v>
      </c>
      <c r="G8" s="47" t="s">
        <v>342</v>
      </c>
      <c r="H8" s="164"/>
      <c r="J8" s="164"/>
      <c r="K8" s="160" t="s">
        <v>1722</v>
      </c>
      <c r="L8" s="164"/>
      <c r="O8" s="154" t="s">
        <v>106</v>
      </c>
      <c r="P8" s="164"/>
      <c r="Q8" s="152" t="s">
        <v>216</v>
      </c>
      <c r="S8" s="51" t="s">
        <v>418</v>
      </c>
      <c r="Y8" t="s">
        <v>1604</v>
      </c>
      <c r="Z8" t="s">
        <v>1602</v>
      </c>
      <c r="AA8">
        <v>268</v>
      </c>
      <c r="AC8" t="s">
        <v>1603</v>
      </c>
      <c r="AD8" t="s">
        <v>1610</v>
      </c>
      <c r="AE8">
        <v>191</v>
      </c>
      <c r="CD8" t="s">
        <v>420</v>
      </c>
      <c r="CE8" t="s">
        <v>1646</v>
      </c>
      <c r="CF8">
        <v>165</v>
      </c>
      <c r="CH8" t="s">
        <v>420</v>
      </c>
      <c r="CI8" t="s">
        <v>1646</v>
      </c>
      <c r="CJ8">
        <v>165</v>
      </c>
      <c r="CL8" t="s">
        <v>420</v>
      </c>
      <c r="CM8" t="s">
        <v>1646</v>
      </c>
      <c r="CN8">
        <v>165</v>
      </c>
      <c r="CP8" t="s">
        <v>235</v>
      </c>
      <c r="CQ8" t="s">
        <v>1647</v>
      </c>
      <c r="CR8">
        <v>9167</v>
      </c>
      <c r="CT8" t="s">
        <v>235</v>
      </c>
      <c r="CU8" t="s">
        <v>1647</v>
      </c>
      <c r="CV8">
        <v>9167</v>
      </c>
      <c r="CX8" t="s">
        <v>235</v>
      </c>
      <c r="CY8" t="s">
        <v>1647</v>
      </c>
      <c r="CZ8">
        <v>9167</v>
      </c>
      <c r="DB8" t="s">
        <v>1670</v>
      </c>
      <c r="DC8" t="s">
        <v>1671</v>
      </c>
      <c r="DD8">
        <v>1600</v>
      </c>
      <c r="DF8" t="s">
        <v>1670</v>
      </c>
      <c r="DG8" t="s">
        <v>1671</v>
      </c>
      <c r="DH8">
        <v>1600</v>
      </c>
      <c r="DJ8" t="s">
        <v>1670</v>
      </c>
      <c r="DK8" t="s">
        <v>1671</v>
      </c>
      <c r="DL8">
        <v>1600</v>
      </c>
      <c r="DN8" t="s">
        <v>1670</v>
      </c>
      <c r="DO8" t="s">
        <v>1671</v>
      </c>
      <c r="DP8">
        <v>1600</v>
      </c>
      <c r="DR8" t="s">
        <v>1670</v>
      </c>
      <c r="DS8" t="s">
        <v>1671</v>
      </c>
      <c r="DT8">
        <v>1600</v>
      </c>
      <c r="DV8" t="s">
        <v>1688</v>
      </c>
      <c r="DW8" t="s">
        <v>1687</v>
      </c>
      <c r="DX8">
        <v>3400</v>
      </c>
      <c r="DZ8" t="s">
        <v>1688</v>
      </c>
      <c r="EA8" t="s">
        <v>1687</v>
      </c>
      <c r="EB8">
        <v>3400</v>
      </c>
      <c r="ED8" t="s">
        <v>1688</v>
      </c>
      <c r="EE8" t="s">
        <v>1687</v>
      </c>
      <c r="EF8">
        <v>3400</v>
      </c>
      <c r="EH8" t="s">
        <v>1688</v>
      </c>
      <c r="EI8" t="s">
        <v>1687</v>
      </c>
      <c r="EJ8">
        <v>3400</v>
      </c>
      <c r="EL8" t="s">
        <v>1688</v>
      </c>
      <c r="EM8" t="s">
        <v>1687</v>
      </c>
      <c r="EN8">
        <v>3400</v>
      </c>
      <c r="EP8" t="s">
        <v>1688</v>
      </c>
      <c r="EQ8" t="s">
        <v>1687</v>
      </c>
      <c r="ER8">
        <v>3400</v>
      </c>
      <c r="ET8" t="s">
        <v>1058</v>
      </c>
      <c r="EU8" t="s">
        <v>1703</v>
      </c>
      <c r="EV8">
        <v>685</v>
      </c>
      <c r="EX8" t="s">
        <v>1058</v>
      </c>
      <c r="EY8" t="s">
        <v>1703</v>
      </c>
      <c r="EZ8">
        <v>685</v>
      </c>
      <c r="FB8" t="s">
        <v>1058</v>
      </c>
      <c r="FC8" t="s">
        <v>1703</v>
      </c>
      <c r="FD8">
        <v>685</v>
      </c>
      <c r="FF8" t="s">
        <v>1058</v>
      </c>
      <c r="FG8" t="s">
        <v>1703</v>
      </c>
      <c r="FH8">
        <v>685</v>
      </c>
      <c r="FJ8" t="s">
        <v>1058</v>
      </c>
      <c r="FK8" t="s">
        <v>1703</v>
      </c>
      <c r="FL8">
        <v>685</v>
      </c>
      <c r="FN8" t="s">
        <v>1058</v>
      </c>
      <c r="FO8" t="s">
        <v>1703</v>
      </c>
      <c r="FP8">
        <v>685</v>
      </c>
      <c r="FR8" t="s">
        <v>1058</v>
      </c>
      <c r="FS8" t="s">
        <v>1703</v>
      </c>
      <c r="FT8">
        <v>685</v>
      </c>
      <c r="FV8" t="s">
        <v>1058</v>
      </c>
      <c r="FW8" t="s">
        <v>1703</v>
      </c>
      <c r="FX8">
        <v>685</v>
      </c>
      <c r="FZ8" t="s">
        <v>1058</v>
      </c>
      <c r="GA8" t="s">
        <v>1703</v>
      </c>
      <c r="GB8">
        <v>685</v>
      </c>
      <c r="GD8" t="s">
        <v>1056</v>
      </c>
      <c r="GE8" t="s">
        <v>1712</v>
      </c>
      <c r="GF8">
        <v>685</v>
      </c>
      <c r="GH8" t="s">
        <v>1056</v>
      </c>
      <c r="GI8" t="s">
        <v>1712</v>
      </c>
      <c r="GJ8">
        <v>685</v>
      </c>
      <c r="GL8" t="s">
        <v>1056</v>
      </c>
      <c r="GM8" t="s">
        <v>1712</v>
      </c>
      <c r="GN8">
        <v>685</v>
      </c>
      <c r="GP8" t="s">
        <v>1056</v>
      </c>
      <c r="GQ8" t="s">
        <v>1712</v>
      </c>
      <c r="GR8">
        <v>685</v>
      </c>
      <c r="GT8" t="s">
        <v>1056</v>
      </c>
      <c r="GU8" t="s">
        <v>1712</v>
      </c>
      <c r="GV8">
        <v>685</v>
      </c>
      <c r="GX8" t="s">
        <v>1056</v>
      </c>
      <c r="GY8" t="s">
        <v>1712</v>
      </c>
      <c r="GZ8">
        <v>685</v>
      </c>
      <c r="HB8" t="s">
        <v>1056</v>
      </c>
      <c r="HC8" t="s">
        <v>1712</v>
      </c>
      <c r="HD8">
        <v>685</v>
      </c>
      <c r="HR8" t="s">
        <v>1168</v>
      </c>
      <c r="HS8" t="s">
        <v>1785</v>
      </c>
      <c r="HT8">
        <v>361</v>
      </c>
      <c r="HV8" t="s">
        <v>1168</v>
      </c>
      <c r="HW8" t="s">
        <v>1785</v>
      </c>
      <c r="HX8">
        <v>361</v>
      </c>
      <c r="HZ8" t="s">
        <v>1076</v>
      </c>
      <c r="IA8" t="s">
        <v>1803</v>
      </c>
      <c r="IB8">
        <v>691</v>
      </c>
      <c r="ID8" t="s">
        <v>1216</v>
      </c>
      <c r="IE8" t="s">
        <v>1217</v>
      </c>
      <c r="IF8">
        <v>62</v>
      </c>
      <c r="IL8" t="s">
        <v>1194</v>
      </c>
      <c r="IM8" t="s">
        <v>1807</v>
      </c>
      <c r="IN8">
        <v>433</v>
      </c>
      <c r="IP8" t="s">
        <v>1168</v>
      </c>
      <c r="IQ8" t="s">
        <v>1806</v>
      </c>
      <c r="IR8">
        <v>361</v>
      </c>
      <c r="IT8" t="s">
        <v>1194</v>
      </c>
      <c r="IU8" t="s">
        <v>1807</v>
      </c>
      <c r="IV8">
        <v>433</v>
      </c>
      <c r="IX8" t="s">
        <v>1168</v>
      </c>
      <c r="IY8" t="s">
        <v>1806</v>
      </c>
      <c r="IZ8">
        <v>361</v>
      </c>
      <c r="JB8" t="s">
        <v>1194</v>
      </c>
      <c r="JC8" t="s">
        <v>1787</v>
      </c>
      <c r="JD8">
        <v>433</v>
      </c>
      <c r="JF8" t="s">
        <v>1231</v>
      </c>
      <c r="JG8" t="s">
        <v>1804</v>
      </c>
      <c r="JH8">
        <v>88</v>
      </c>
      <c r="JJ8" t="s">
        <v>1194</v>
      </c>
      <c r="JK8" t="s">
        <v>1787</v>
      </c>
      <c r="JL8">
        <v>433</v>
      </c>
      <c r="JN8" t="s">
        <v>1231</v>
      </c>
      <c r="JO8" t="s">
        <v>1804</v>
      </c>
      <c r="JP8">
        <v>88</v>
      </c>
      <c r="JR8" t="s">
        <v>1064</v>
      </c>
      <c r="JS8" t="s">
        <v>1817</v>
      </c>
      <c r="JT8">
        <v>685</v>
      </c>
      <c r="JV8" t="s">
        <v>1086</v>
      </c>
      <c r="JW8" t="s">
        <v>1844</v>
      </c>
      <c r="JX8">
        <v>47</v>
      </c>
      <c r="JZ8" t="s">
        <v>1086</v>
      </c>
      <c r="KA8" t="s">
        <v>1844</v>
      </c>
      <c r="KB8">
        <v>47</v>
      </c>
      <c r="KD8" t="s">
        <v>1088</v>
      </c>
      <c r="KE8" t="s">
        <v>1858</v>
      </c>
      <c r="KF8">
        <v>47</v>
      </c>
      <c r="KH8" t="s">
        <v>1088</v>
      </c>
      <c r="KI8" t="s">
        <v>1858</v>
      </c>
      <c r="KJ8">
        <v>47</v>
      </c>
      <c r="KL8" t="s">
        <v>1094</v>
      </c>
      <c r="KM8" t="s">
        <v>1095</v>
      </c>
      <c r="KN8">
        <v>26</v>
      </c>
      <c r="KP8" t="s">
        <v>1091</v>
      </c>
      <c r="KQ8" t="s">
        <v>1092</v>
      </c>
      <c r="KR8">
        <v>47</v>
      </c>
      <c r="KT8" t="s">
        <v>1025</v>
      </c>
      <c r="KU8" t="s">
        <v>1026</v>
      </c>
      <c r="KV8">
        <v>52</v>
      </c>
      <c r="KX8" t="s">
        <v>1094</v>
      </c>
      <c r="KY8" t="s">
        <v>1095</v>
      </c>
      <c r="KZ8">
        <v>26</v>
      </c>
      <c r="LB8" t="s">
        <v>1161</v>
      </c>
      <c r="LC8" t="s">
        <v>1788</v>
      </c>
      <c r="LD8">
        <v>-412</v>
      </c>
      <c r="LJ8" t="s">
        <v>1066</v>
      </c>
      <c r="LK8" t="s">
        <v>1904</v>
      </c>
      <c r="LL8">
        <v>186</v>
      </c>
      <c r="LN8" t="s">
        <v>1160</v>
      </c>
      <c r="LO8" t="s">
        <v>1913</v>
      </c>
      <c r="LP8">
        <v>598</v>
      </c>
      <c r="LR8" t="s">
        <v>965</v>
      </c>
      <c r="LS8" t="s">
        <v>1923</v>
      </c>
      <c r="LT8">
        <v>433</v>
      </c>
      <c r="MH8" t="s">
        <v>965</v>
      </c>
      <c r="MI8" t="s">
        <v>1930</v>
      </c>
      <c r="MJ8">
        <v>433</v>
      </c>
      <c r="ML8" t="s">
        <v>965</v>
      </c>
      <c r="MM8" t="s">
        <v>1930</v>
      </c>
      <c r="MN8">
        <v>433</v>
      </c>
      <c r="MP8" t="s">
        <v>852</v>
      </c>
      <c r="MQ8" t="s">
        <v>1935</v>
      </c>
      <c r="MR8">
        <v>685</v>
      </c>
      <c r="MX8" t="s">
        <v>1357</v>
      </c>
      <c r="MY8" t="str">
        <f t="shared" si="0"/>
        <v>Blind Corner Base</v>
      </c>
      <c r="MZ8">
        <v>1180</v>
      </c>
      <c r="NA8" t="str">
        <f t="shared" si="1"/>
        <v>39</v>
      </c>
      <c r="NB8" t="str">
        <f t="shared" si="2"/>
        <v>34</v>
      </c>
      <c r="NC8" t="str">
        <f t="shared" si="3"/>
        <v>24</v>
      </c>
      <c r="NE8" t="s">
        <v>1971</v>
      </c>
      <c r="NF8" t="s">
        <v>1972</v>
      </c>
      <c r="NH8" t="s">
        <v>914</v>
      </c>
      <c r="NI8" t="s">
        <v>1998</v>
      </c>
      <c r="NJ8">
        <v>1103</v>
      </c>
      <c r="NL8" t="s">
        <v>866</v>
      </c>
      <c r="NM8" t="s">
        <v>867</v>
      </c>
      <c r="NN8">
        <v>47</v>
      </c>
      <c r="NP8" t="s">
        <v>858</v>
      </c>
      <c r="NQ8" t="s">
        <v>2004</v>
      </c>
      <c r="NR8">
        <v>346</v>
      </c>
      <c r="NT8" t="s">
        <v>858</v>
      </c>
      <c r="NU8" t="s">
        <v>2004</v>
      </c>
      <c r="NV8">
        <v>346</v>
      </c>
      <c r="NX8" t="s">
        <v>810</v>
      </c>
      <c r="NY8" t="s">
        <v>811</v>
      </c>
      <c r="NZ8">
        <v>52</v>
      </c>
      <c r="OB8" t="s">
        <v>810</v>
      </c>
      <c r="OC8" t="s">
        <v>811</v>
      </c>
      <c r="OD8">
        <v>52</v>
      </c>
      <c r="OJ8" t="s">
        <v>114</v>
      </c>
      <c r="OK8" t="s">
        <v>1854</v>
      </c>
      <c r="OL8">
        <v>2488</v>
      </c>
      <c r="ON8" t="s">
        <v>999</v>
      </c>
      <c r="OO8" t="s">
        <v>1877</v>
      </c>
      <c r="OP8">
        <v>237</v>
      </c>
      <c r="OR8" t="s">
        <v>999</v>
      </c>
      <c r="OS8" t="s">
        <v>1877</v>
      </c>
      <c r="OT8">
        <v>237</v>
      </c>
      <c r="OV8" t="s">
        <v>929</v>
      </c>
      <c r="OW8" t="s">
        <v>2059</v>
      </c>
      <c r="OX8">
        <v>361</v>
      </c>
      <c r="PD8" t="s">
        <v>854</v>
      </c>
      <c r="PE8" t="s">
        <v>2063</v>
      </c>
      <c r="PF8">
        <v>206</v>
      </c>
      <c r="PL8" t="s">
        <v>2083</v>
      </c>
      <c r="PM8" t="s">
        <v>2084</v>
      </c>
      <c r="PN8">
        <v>433</v>
      </c>
      <c r="PP8" t="s">
        <v>2083</v>
      </c>
      <c r="PQ8" t="s">
        <v>2084</v>
      </c>
      <c r="PR8">
        <v>433</v>
      </c>
      <c r="PX8" t="s">
        <v>798</v>
      </c>
      <c r="PY8" t="s">
        <v>799</v>
      </c>
      <c r="PZ8">
        <v>258</v>
      </c>
      <c r="QB8" t="s">
        <v>798</v>
      </c>
      <c r="QC8" t="s">
        <v>799</v>
      </c>
      <c r="QD8">
        <v>258</v>
      </c>
      <c r="QF8" t="s">
        <v>785</v>
      </c>
      <c r="QG8" t="s">
        <v>2286</v>
      </c>
      <c r="QH8">
        <v>1216</v>
      </c>
      <c r="QJ8" t="s">
        <v>787</v>
      </c>
      <c r="QK8" t="s">
        <v>2296</v>
      </c>
      <c r="QL8">
        <v>1355</v>
      </c>
      <c r="QV8" t="s">
        <v>791</v>
      </c>
      <c r="QW8" t="s">
        <v>2302</v>
      </c>
      <c r="QX8">
        <v>783</v>
      </c>
      <c r="QZ8" t="s">
        <v>180</v>
      </c>
      <c r="RA8" t="s">
        <v>2303</v>
      </c>
      <c r="RB8">
        <v>1937</v>
      </c>
      <c r="RD8" t="s">
        <v>672</v>
      </c>
      <c r="RE8" t="s">
        <v>2333</v>
      </c>
      <c r="RF8">
        <v>2395</v>
      </c>
      <c r="RH8" t="s">
        <v>672</v>
      </c>
      <c r="RI8" t="s">
        <v>2333</v>
      </c>
      <c r="RJ8">
        <v>2395</v>
      </c>
      <c r="RL8" t="s">
        <v>672</v>
      </c>
      <c r="RM8" t="s">
        <v>2333</v>
      </c>
      <c r="RN8">
        <v>2395</v>
      </c>
      <c r="RP8" t="s">
        <v>672</v>
      </c>
      <c r="RQ8" t="s">
        <v>2333</v>
      </c>
      <c r="RR8">
        <v>2395</v>
      </c>
      <c r="RT8" t="s">
        <v>672</v>
      </c>
      <c r="RU8" t="s">
        <v>2333</v>
      </c>
      <c r="RV8">
        <v>2395</v>
      </c>
      <c r="RX8" t="s">
        <v>672</v>
      </c>
      <c r="RY8" t="s">
        <v>2333</v>
      </c>
      <c r="RZ8">
        <v>2395</v>
      </c>
      <c r="SB8" t="s">
        <v>672</v>
      </c>
      <c r="SC8" t="s">
        <v>2333</v>
      </c>
      <c r="SD8">
        <v>2395</v>
      </c>
      <c r="SF8" t="s">
        <v>672</v>
      </c>
      <c r="SG8" t="s">
        <v>2333</v>
      </c>
      <c r="SH8">
        <v>2395</v>
      </c>
      <c r="SJ8" t="s">
        <v>672</v>
      </c>
      <c r="SK8" t="s">
        <v>2333</v>
      </c>
      <c r="SL8">
        <v>2395</v>
      </c>
      <c r="SN8" t="s">
        <v>672</v>
      </c>
      <c r="SO8" t="s">
        <v>2333</v>
      </c>
      <c r="SP8">
        <v>2395</v>
      </c>
      <c r="SR8" t="s">
        <v>672</v>
      </c>
      <c r="SS8" t="s">
        <v>2333</v>
      </c>
      <c r="ST8">
        <v>2395</v>
      </c>
      <c r="SV8" t="s">
        <v>672</v>
      </c>
      <c r="SW8" t="s">
        <v>2333</v>
      </c>
      <c r="SX8">
        <v>2395</v>
      </c>
      <c r="SZ8" t="s">
        <v>672</v>
      </c>
      <c r="TA8" t="s">
        <v>2333</v>
      </c>
      <c r="TB8">
        <v>2395</v>
      </c>
      <c r="TD8" t="s">
        <v>672</v>
      </c>
      <c r="TE8" t="s">
        <v>2333</v>
      </c>
      <c r="TF8">
        <v>2395</v>
      </c>
      <c r="TH8" t="s">
        <v>672</v>
      </c>
      <c r="TI8" t="s">
        <v>2333</v>
      </c>
      <c r="TJ8">
        <v>2395</v>
      </c>
      <c r="TL8" t="s">
        <v>672</v>
      </c>
      <c r="TM8" t="s">
        <v>2333</v>
      </c>
      <c r="TN8">
        <v>2395</v>
      </c>
      <c r="TP8" t="s">
        <v>453</v>
      </c>
      <c r="TQ8" t="s">
        <v>2352</v>
      </c>
      <c r="TR8">
        <v>-165</v>
      </c>
      <c r="TT8" t="s">
        <v>453</v>
      </c>
      <c r="TU8" t="s">
        <v>2352</v>
      </c>
      <c r="TV8">
        <v>-165</v>
      </c>
      <c r="TX8" t="s">
        <v>453</v>
      </c>
      <c r="TY8" t="s">
        <v>2352</v>
      </c>
      <c r="TZ8">
        <v>-165</v>
      </c>
      <c r="UB8" t="s">
        <v>453</v>
      </c>
      <c r="UC8" t="s">
        <v>2352</v>
      </c>
      <c r="UD8">
        <v>-165</v>
      </c>
      <c r="UF8" t="s">
        <v>455</v>
      </c>
      <c r="UG8" t="s">
        <v>456</v>
      </c>
      <c r="UH8">
        <v>-124</v>
      </c>
      <c r="UJ8" t="s">
        <v>2376</v>
      </c>
      <c r="UK8" t="s">
        <v>2375</v>
      </c>
      <c r="UL8">
        <v>52</v>
      </c>
      <c r="UN8" t="s">
        <v>528</v>
      </c>
      <c r="UO8" t="s">
        <v>2377</v>
      </c>
      <c r="UP8">
        <v>52</v>
      </c>
      <c r="UR8" t="s">
        <v>530</v>
      </c>
      <c r="US8" t="s">
        <v>2377</v>
      </c>
      <c r="UT8">
        <v>62</v>
      </c>
      <c r="VT8" t="s">
        <v>475</v>
      </c>
      <c r="VU8" t="s">
        <v>2383</v>
      </c>
      <c r="VV8">
        <v>938</v>
      </c>
      <c r="VX8" t="s">
        <v>461</v>
      </c>
      <c r="VY8" t="s">
        <v>2385</v>
      </c>
      <c r="VZ8">
        <v>464</v>
      </c>
      <c r="WB8" t="s">
        <v>526</v>
      </c>
      <c r="WC8" t="s">
        <v>2392</v>
      </c>
      <c r="WD8">
        <v>52</v>
      </c>
      <c r="WV8" t="s">
        <v>475</v>
      </c>
      <c r="WW8" t="s">
        <v>2383</v>
      </c>
      <c r="WX8">
        <v>938</v>
      </c>
      <c r="WZ8" t="s">
        <v>570</v>
      </c>
      <c r="XA8" t="s">
        <v>2403</v>
      </c>
      <c r="XB8">
        <v>48</v>
      </c>
      <c r="XD8" t="s">
        <v>475</v>
      </c>
      <c r="XE8" t="s">
        <v>2383</v>
      </c>
      <c r="XF8">
        <v>938</v>
      </c>
      <c r="XH8" s="509" t="s">
        <v>568</v>
      </c>
      <c r="XI8" t="s">
        <v>2404</v>
      </c>
      <c r="XJ8">
        <v>196</v>
      </c>
      <c r="XL8" s="509" t="s">
        <v>568</v>
      </c>
      <c r="XM8" t="s">
        <v>2404</v>
      </c>
      <c r="XN8">
        <v>196</v>
      </c>
      <c r="XX8" t="s">
        <v>2405</v>
      </c>
      <c r="XY8" t="s">
        <v>2406</v>
      </c>
      <c r="XZ8">
        <v>275</v>
      </c>
      <c r="YB8" t="s">
        <v>2405</v>
      </c>
      <c r="YC8" t="s">
        <v>2406</v>
      </c>
      <c r="YD8">
        <v>275</v>
      </c>
      <c r="YF8" t="s">
        <v>568</v>
      </c>
      <c r="YG8" t="s">
        <v>2408</v>
      </c>
      <c r="YH8">
        <v>196</v>
      </c>
      <c r="ZT8" t="s">
        <v>598</v>
      </c>
      <c r="ZU8" t="s">
        <v>2381</v>
      </c>
      <c r="ZV8">
        <v>258</v>
      </c>
    </row>
    <row r="9" spans="1:734">
      <c r="A9" t="s">
        <v>536</v>
      </c>
      <c r="B9" t="s">
        <v>1605</v>
      </c>
      <c r="C9">
        <v>490</v>
      </c>
      <c r="G9" s="47" t="s">
        <v>369</v>
      </c>
      <c r="H9" s="164"/>
      <c r="J9" s="164"/>
      <c r="K9" s="159" t="s">
        <v>1723</v>
      </c>
      <c r="L9" s="164"/>
      <c r="O9" s="154" t="s">
        <v>108</v>
      </c>
      <c r="P9" s="164"/>
      <c r="Q9" s="152" t="s">
        <v>1634</v>
      </c>
      <c r="S9" s="51" t="s">
        <v>414</v>
      </c>
      <c r="AC9" t="s">
        <v>1604</v>
      </c>
      <c r="AD9" t="s">
        <v>1611</v>
      </c>
      <c r="AE9">
        <v>268</v>
      </c>
      <c r="CD9" t="s">
        <v>235</v>
      </c>
      <c r="CE9" t="s">
        <v>1647</v>
      </c>
      <c r="CF9">
        <v>9167</v>
      </c>
      <c r="CH9" t="s">
        <v>235</v>
      </c>
      <c r="CI9" t="s">
        <v>1647</v>
      </c>
      <c r="CJ9">
        <v>9167</v>
      </c>
      <c r="CL9" t="s">
        <v>235</v>
      </c>
      <c r="CM9" t="s">
        <v>1647</v>
      </c>
      <c r="CN9">
        <v>9167</v>
      </c>
      <c r="CP9" t="s">
        <v>239</v>
      </c>
      <c r="CQ9" t="s">
        <v>1648</v>
      </c>
      <c r="CR9">
        <v>10295</v>
      </c>
      <c r="CT9" t="s">
        <v>239</v>
      </c>
      <c r="CU9" t="s">
        <v>1648</v>
      </c>
      <c r="CV9">
        <v>10295</v>
      </c>
      <c r="CX9" t="s">
        <v>239</v>
      </c>
      <c r="CY9" t="s">
        <v>1648</v>
      </c>
      <c r="CZ9">
        <v>10295</v>
      </c>
      <c r="DB9" t="s">
        <v>1672</v>
      </c>
      <c r="DC9" t="s">
        <v>1673</v>
      </c>
      <c r="DD9">
        <v>1200</v>
      </c>
      <c r="DF9" t="s">
        <v>1672</v>
      </c>
      <c r="DG9" t="s">
        <v>1673</v>
      </c>
      <c r="DH9">
        <v>1200</v>
      </c>
      <c r="DJ9" t="s">
        <v>1672</v>
      </c>
      <c r="DK9" t="s">
        <v>1673</v>
      </c>
      <c r="DL9">
        <v>1200</v>
      </c>
      <c r="DN9" t="s">
        <v>1672</v>
      </c>
      <c r="DO9" t="s">
        <v>1673</v>
      </c>
      <c r="DP9">
        <v>1200</v>
      </c>
      <c r="DR9" t="s">
        <v>1672</v>
      </c>
      <c r="DS9" t="s">
        <v>1673</v>
      </c>
      <c r="DT9">
        <v>1200</v>
      </c>
      <c r="DV9" t="s">
        <v>1689</v>
      </c>
      <c r="DW9" t="s">
        <v>1690</v>
      </c>
      <c r="DX9">
        <v>550</v>
      </c>
      <c r="DZ9" t="s">
        <v>1689</v>
      </c>
      <c r="EA9" t="s">
        <v>1690</v>
      </c>
      <c r="EB9">
        <v>550</v>
      </c>
      <c r="ED9" t="s">
        <v>1689</v>
      </c>
      <c r="EE9" t="s">
        <v>1690</v>
      </c>
      <c r="EF9">
        <v>550</v>
      </c>
      <c r="EH9" t="s">
        <v>1689</v>
      </c>
      <c r="EI9" t="s">
        <v>1690</v>
      </c>
      <c r="EJ9">
        <v>550</v>
      </c>
      <c r="EL9" t="s">
        <v>1689</v>
      </c>
      <c r="EM9" t="s">
        <v>1690</v>
      </c>
      <c r="EN9">
        <v>550</v>
      </c>
      <c r="EP9" t="s">
        <v>1689</v>
      </c>
      <c r="EQ9" t="s">
        <v>1690</v>
      </c>
      <c r="ER9">
        <v>550</v>
      </c>
      <c r="ET9" t="s">
        <v>1064</v>
      </c>
      <c r="EU9" t="s">
        <v>1704</v>
      </c>
      <c r="EV9">
        <v>685</v>
      </c>
      <c r="EX9" t="s">
        <v>1064</v>
      </c>
      <c r="EY9" t="s">
        <v>1704</v>
      </c>
      <c r="EZ9">
        <v>685</v>
      </c>
      <c r="FB9" t="s">
        <v>1064</v>
      </c>
      <c r="FC9" t="s">
        <v>1704</v>
      </c>
      <c r="FD9">
        <v>685</v>
      </c>
      <c r="FF9" t="s">
        <v>1064</v>
      </c>
      <c r="FG9" t="s">
        <v>1704</v>
      </c>
      <c r="FH9">
        <v>685</v>
      </c>
      <c r="FJ9" t="s">
        <v>1064</v>
      </c>
      <c r="FK9" t="s">
        <v>1704</v>
      </c>
      <c r="FL9">
        <v>685</v>
      </c>
      <c r="FN9" t="s">
        <v>1064</v>
      </c>
      <c r="FO9" t="s">
        <v>1704</v>
      </c>
      <c r="FP9">
        <v>685</v>
      </c>
      <c r="FR9" t="s">
        <v>1064</v>
      </c>
      <c r="FS9" t="s">
        <v>1704</v>
      </c>
      <c r="FT9">
        <v>685</v>
      </c>
      <c r="FV9" t="s">
        <v>1064</v>
      </c>
      <c r="FW9" t="s">
        <v>1704</v>
      </c>
      <c r="FX9">
        <v>685</v>
      </c>
      <c r="FZ9" t="s">
        <v>1064</v>
      </c>
      <c r="GA9" t="s">
        <v>1704</v>
      </c>
      <c r="GB9">
        <v>685</v>
      </c>
      <c r="GD9" t="s">
        <v>1062</v>
      </c>
      <c r="GE9" t="s">
        <v>1714</v>
      </c>
      <c r="GF9">
        <v>685</v>
      </c>
      <c r="GH9" t="s">
        <v>1062</v>
      </c>
      <c r="GI9" t="s">
        <v>1714</v>
      </c>
      <c r="GJ9">
        <v>685</v>
      </c>
      <c r="GL9" t="s">
        <v>1062</v>
      </c>
      <c r="GM9" t="s">
        <v>1714</v>
      </c>
      <c r="GN9">
        <v>685</v>
      </c>
      <c r="GP9" t="s">
        <v>1062</v>
      </c>
      <c r="GQ9" t="s">
        <v>1714</v>
      </c>
      <c r="GR9">
        <v>685</v>
      </c>
      <c r="GT9" t="s">
        <v>1062</v>
      </c>
      <c r="GU9" t="s">
        <v>1714</v>
      </c>
      <c r="GV9">
        <v>685</v>
      </c>
      <c r="GX9" t="s">
        <v>1062</v>
      </c>
      <c r="GY9" t="s">
        <v>1714</v>
      </c>
      <c r="GZ9">
        <v>685</v>
      </c>
      <c r="HB9" t="s">
        <v>1062</v>
      </c>
      <c r="HC9" t="s">
        <v>1714</v>
      </c>
      <c r="HD9">
        <v>685</v>
      </c>
      <c r="HR9" t="s">
        <v>1198</v>
      </c>
      <c r="HS9" t="s">
        <v>1786</v>
      </c>
      <c r="HT9">
        <v>325</v>
      </c>
      <c r="HV9" t="s">
        <v>1198</v>
      </c>
      <c r="HW9" t="s">
        <v>1786</v>
      </c>
      <c r="HX9">
        <v>325</v>
      </c>
      <c r="ID9" t="s">
        <v>1076</v>
      </c>
      <c r="IE9" t="s">
        <v>1803</v>
      </c>
      <c r="IF9">
        <v>691</v>
      </c>
      <c r="IL9" t="s">
        <v>1161</v>
      </c>
      <c r="IM9" t="s">
        <v>1788</v>
      </c>
      <c r="IN9">
        <v>-412</v>
      </c>
      <c r="IP9" t="s">
        <v>1198</v>
      </c>
      <c r="IQ9" t="s">
        <v>1786</v>
      </c>
      <c r="IR9">
        <v>325</v>
      </c>
      <c r="IT9" t="s">
        <v>1161</v>
      </c>
      <c r="IU9" t="s">
        <v>1788</v>
      </c>
      <c r="IV9">
        <v>-412</v>
      </c>
      <c r="IX9" t="s">
        <v>1198</v>
      </c>
      <c r="IY9" t="s">
        <v>1786</v>
      </c>
      <c r="IZ9">
        <v>325</v>
      </c>
      <c r="JB9" t="s">
        <v>1161</v>
      </c>
      <c r="JC9" t="s">
        <v>1788</v>
      </c>
      <c r="JD9">
        <v>-412</v>
      </c>
      <c r="JF9" t="s">
        <v>1031</v>
      </c>
      <c r="JG9" t="s">
        <v>1805</v>
      </c>
      <c r="JH9">
        <v>232</v>
      </c>
      <c r="JJ9" t="s">
        <v>1161</v>
      </c>
      <c r="JK9" t="s">
        <v>1788</v>
      </c>
      <c r="JL9">
        <v>-412</v>
      </c>
      <c r="JN9" t="s">
        <v>1031</v>
      </c>
      <c r="JO9" t="s">
        <v>1805</v>
      </c>
      <c r="JP9">
        <v>232</v>
      </c>
      <c r="JR9" t="s">
        <v>204</v>
      </c>
      <c r="JS9" t="s">
        <v>1818</v>
      </c>
      <c r="JT9">
        <v>4120</v>
      </c>
      <c r="JV9" t="s">
        <v>1122</v>
      </c>
      <c r="JW9" t="s">
        <v>1845</v>
      </c>
      <c r="JX9">
        <v>752</v>
      </c>
      <c r="JZ9" t="s">
        <v>1120</v>
      </c>
      <c r="KA9" t="s">
        <v>1846</v>
      </c>
      <c r="KB9">
        <v>907</v>
      </c>
      <c r="KD9" t="s">
        <v>1090</v>
      </c>
      <c r="KE9" t="s">
        <v>1857</v>
      </c>
      <c r="KF9">
        <v>47</v>
      </c>
      <c r="KH9" t="s">
        <v>1090</v>
      </c>
      <c r="KI9" t="s">
        <v>1857</v>
      </c>
      <c r="KJ9">
        <v>47</v>
      </c>
      <c r="KL9" t="s">
        <v>1241</v>
      </c>
      <c r="KM9" t="s">
        <v>1877</v>
      </c>
      <c r="KN9">
        <v>237</v>
      </c>
      <c r="KP9" t="s">
        <v>1094</v>
      </c>
      <c r="KQ9" t="s">
        <v>1095</v>
      </c>
      <c r="KR9">
        <v>26</v>
      </c>
      <c r="KT9" t="s">
        <v>1091</v>
      </c>
      <c r="KU9" t="s">
        <v>1092</v>
      </c>
      <c r="KV9">
        <v>47</v>
      </c>
      <c r="KX9" t="s">
        <v>1241</v>
      </c>
      <c r="KY9" t="s">
        <v>1877</v>
      </c>
      <c r="KZ9">
        <v>237</v>
      </c>
      <c r="LB9" t="s">
        <v>1176</v>
      </c>
      <c r="LC9" t="s">
        <v>1894</v>
      </c>
      <c r="LD9">
        <v>479</v>
      </c>
      <c r="LJ9" t="s">
        <v>1905</v>
      </c>
      <c r="LK9" t="s">
        <v>996</v>
      </c>
      <c r="LL9">
        <v>387</v>
      </c>
      <c r="LN9" t="s">
        <v>1168</v>
      </c>
      <c r="LO9" t="s">
        <v>1914</v>
      </c>
      <c r="LP9">
        <v>361</v>
      </c>
      <c r="LR9" t="s">
        <v>929</v>
      </c>
      <c r="LS9" t="s">
        <v>1924</v>
      </c>
      <c r="LT9">
        <v>361</v>
      </c>
      <c r="MH9" t="s">
        <v>928</v>
      </c>
      <c r="MI9" t="s">
        <v>1788</v>
      </c>
      <c r="MJ9">
        <v>-412</v>
      </c>
      <c r="ML9" t="s">
        <v>928</v>
      </c>
      <c r="MM9" t="s">
        <v>1788</v>
      </c>
      <c r="MN9">
        <v>-412</v>
      </c>
      <c r="MP9" t="s">
        <v>204</v>
      </c>
      <c r="MQ9" t="s">
        <v>1818</v>
      </c>
      <c r="MR9">
        <v>4120</v>
      </c>
      <c r="MX9" t="s">
        <v>1421</v>
      </c>
      <c r="MY9" t="str">
        <f t="shared" si="0"/>
        <v>Ultrasonic Base Cabinet</v>
      </c>
      <c r="MZ9">
        <v>742</v>
      </c>
      <c r="NA9" t="str">
        <f t="shared" si="1"/>
        <v>16</v>
      </c>
      <c r="NB9" t="str">
        <f t="shared" si="2"/>
        <v>34</v>
      </c>
      <c r="NC9" t="str">
        <f t="shared" si="3"/>
        <v>24</v>
      </c>
      <c r="NE9" t="s">
        <v>1973</v>
      </c>
      <c r="NF9" t="s">
        <v>1974</v>
      </c>
      <c r="NH9" t="s">
        <v>876</v>
      </c>
      <c r="NI9" t="s">
        <v>1868</v>
      </c>
      <c r="NJ9">
        <v>237</v>
      </c>
      <c r="NL9" t="s">
        <v>876</v>
      </c>
      <c r="NM9" t="s">
        <v>1868</v>
      </c>
      <c r="NN9">
        <v>237</v>
      </c>
      <c r="NP9" t="s">
        <v>868</v>
      </c>
      <c r="NQ9" t="s">
        <v>2005</v>
      </c>
      <c r="NR9">
        <v>47</v>
      </c>
      <c r="NT9" t="s">
        <v>868</v>
      </c>
      <c r="NU9" t="s">
        <v>2005</v>
      </c>
      <c r="NV9">
        <v>47</v>
      </c>
      <c r="NX9" t="s">
        <v>816</v>
      </c>
      <c r="NY9" t="s">
        <v>817</v>
      </c>
      <c r="NZ9">
        <v>52</v>
      </c>
      <c r="OB9" t="s">
        <v>816</v>
      </c>
      <c r="OC9" t="s">
        <v>817</v>
      </c>
      <c r="OD9">
        <v>52</v>
      </c>
      <c r="OJ9" t="s">
        <v>748</v>
      </c>
      <c r="OK9" t="s">
        <v>1855</v>
      </c>
      <c r="OL9">
        <v>109</v>
      </c>
      <c r="ON9" t="s">
        <v>1001</v>
      </c>
      <c r="OO9" t="s">
        <v>2041</v>
      </c>
      <c r="OP9">
        <v>217</v>
      </c>
      <c r="OR9" t="s">
        <v>1001</v>
      </c>
      <c r="OS9" t="s">
        <v>2041</v>
      </c>
      <c r="OT9">
        <v>217</v>
      </c>
      <c r="OV9" t="s">
        <v>928</v>
      </c>
      <c r="OW9" t="s">
        <v>1824</v>
      </c>
      <c r="OX9">
        <v>-412</v>
      </c>
      <c r="PD9" t="s">
        <v>995</v>
      </c>
      <c r="PE9" t="s">
        <v>2064</v>
      </c>
      <c r="PF9">
        <v>387</v>
      </c>
      <c r="PL9" t="s">
        <v>2085</v>
      </c>
      <c r="PM9" t="s">
        <v>2086</v>
      </c>
      <c r="PN9">
        <v>598</v>
      </c>
      <c r="PP9" t="s">
        <v>2085</v>
      </c>
      <c r="PQ9" t="s">
        <v>2086</v>
      </c>
      <c r="PR9">
        <v>598</v>
      </c>
      <c r="PX9" t="s">
        <v>2083</v>
      </c>
      <c r="PY9" t="s">
        <v>2084</v>
      </c>
      <c r="PZ9">
        <v>433</v>
      </c>
      <c r="QB9" t="s">
        <v>2083</v>
      </c>
      <c r="QC9" t="s">
        <v>2084</v>
      </c>
      <c r="QD9">
        <v>433</v>
      </c>
      <c r="QF9" t="s">
        <v>798</v>
      </c>
      <c r="QG9" t="s">
        <v>2287</v>
      </c>
      <c r="QH9">
        <v>258</v>
      </c>
      <c r="QJ9" t="s">
        <v>798</v>
      </c>
      <c r="QK9" t="s">
        <v>2287</v>
      </c>
      <c r="QL9">
        <v>258</v>
      </c>
      <c r="QV9" t="s">
        <v>180</v>
      </c>
      <c r="QW9" t="s">
        <v>2303</v>
      </c>
      <c r="QX9">
        <v>1937</v>
      </c>
      <c r="QZ9" t="s">
        <v>182</v>
      </c>
      <c r="RA9" t="s">
        <v>2304</v>
      </c>
      <c r="RB9">
        <v>2931</v>
      </c>
      <c r="RD9" t="s">
        <v>674</v>
      </c>
      <c r="RE9" t="s">
        <v>2334</v>
      </c>
      <c r="RF9">
        <v>4244</v>
      </c>
      <c r="RH9" t="s">
        <v>674</v>
      </c>
      <c r="RI9" t="s">
        <v>2334</v>
      </c>
      <c r="RJ9">
        <v>4244</v>
      </c>
      <c r="RL9" t="s">
        <v>674</v>
      </c>
      <c r="RM9" t="s">
        <v>2334</v>
      </c>
      <c r="RN9">
        <v>4244</v>
      </c>
      <c r="RP9" t="s">
        <v>674</v>
      </c>
      <c r="RQ9" t="s">
        <v>2334</v>
      </c>
      <c r="RR9">
        <v>4244</v>
      </c>
      <c r="RT9" t="s">
        <v>674</v>
      </c>
      <c r="RU9" t="s">
        <v>2334</v>
      </c>
      <c r="RV9">
        <v>4244</v>
      </c>
      <c r="RX9" t="s">
        <v>674</v>
      </c>
      <c r="RY9" t="s">
        <v>2334</v>
      </c>
      <c r="RZ9">
        <v>4244</v>
      </c>
      <c r="SB9" t="s">
        <v>674</v>
      </c>
      <c r="SC9" t="s">
        <v>2334</v>
      </c>
      <c r="SD9">
        <v>4244</v>
      </c>
      <c r="SF9" t="s">
        <v>674</v>
      </c>
      <c r="SG9" t="s">
        <v>2334</v>
      </c>
      <c r="SH9">
        <v>4244</v>
      </c>
      <c r="SJ9" t="s">
        <v>674</v>
      </c>
      <c r="SK9" t="s">
        <v>2334</v>
      </c>
      <c r="SL9">
        <v>4244</v>
      </c>
      <c r="SN9" t="s">
        <v>674</v>
      </c>
      <c r="SO9" t="s">
        <v>2334</v>
      </c>
      <c r="SP9">
        <v>4244</v>
      </c>
      <c r="SR9" t="s">
        <v>674</v>
      </c>
      <c r="SS9" t="s">
        <v>2334</v>
      </c>
      <c r="ST9">
        <v>4244</v>
      </c>
      <c r="SV9" t="s">
        <v>674</v>
      </c>
      <c r="SW9" t="s">
        <v>2334</v>
      </c>
      <c r="SX9">
        <v>4244</v>
      </c>
      <c r="SZ9" t="s">
        <v>674</v>
      </c>
      <c r="TA9" t="s">
        <v>2334</v>
      </c>
      <c r="TB9">
        <v>4244</v>
      </c>
      <c r="TD9" t="s">
        <v>674</v>
      </c>
      <c r="TE9" t="s">
        <v>2334</v>
      </c>
      <c r="TF9">
        <v>4244</v>
      </c>
      <c r="TH9" t="s">
        <v>674</v>
      </c>
      <c r="TI9" t="s">
        <v>2334</v>
      </c>
      <c r="TJ9">
        <v>4244</v>
      </c>
      <c r="TL9" t="s">
        <v>674</v>
      </c>
      <c r="TM9" t="s">
        <v>2334</v>
      </c>
      <c r="TN9">
        <v>4244</v>
      </c>
      <c r="TP9" t="s">
        <v>455</v>
      </c>
      <c r="TQ9" t="s">
        <v>456</v>
      </c>
      <c r="TR9">
        <v>-124</v>
      </c>
      <c r="TT9" t="s">
        <v>455</v>
      </c>
      <c r="TU9" t="s">
        <v>456</v>
      </c>
      <c r="TV9">
        <v>-124</v>
      </c>
      <c r="TX9" t="s">
        <v>455</v>
      </c>
      <c r="TY9" t="s">
        <v>456</v>
      </c>
      <c r="TZ9">
        <v>-124</v>
      </c>
      <c r="UB9" t="s">
        <v>455</v>
      </c>
      <c r="UC9" t="s">
        <v>456</v>
      </c>
      <c r="UD9">
        <v>-124</v>
      </c>
      <c r="UF9" t="s">
        <v>477</v>
      </c>
      <c r="UG9" t="s">
        <v>2396</v>
      </c>
      <c r="UH9">
        <v>-299</v>
      </c>
      <c r="VT9" t="s">
        <v>522</v>
      </c>
      <c r="VU9" t="s">
        <v>2377</v>
      </c>
      <c r="VV9">
        <v>52</v>
      </c>
      <c r="VX9" t="s">
        <v>463</v>
      </c>
      <c r="VY9" t="s">
        <v>2386</v>
      </c>
      <c r="VZ9">
        <v>464</v>
      </c>
      <c r="WB9" t="s">
        <v>483</v>
      </c>
      <c r="WC9" t="s">
        <v>2393</v>
      </c>
      <c r="WD9">
        <v>248</v>
      </c>
      <c r="WV9" t="s">
        <v>570</v>
      </c>
      <c r="WW9" t="s">
        <v>2403</v>
      </c>
      <c r="WX9">
        <v>48</v>
      </c>
      <c r="WZ9" s="509" t="s">
        <v>2405</v>
      </c>
      <c r="XA9" t="s">
        <v>2406</v>
      </c>
      <c r="XB9">
        <v>275</v>
      </c>
      <c r="XD9" t="s">
        <v>570</v>
      </c>
      <c r="XE9" t="s">
        <v>2403</v>
      </c>
      <c r="XF9">
        <v>48</v>
      </c>
      <c r="XH9" s="509" t="s">
        <v>2405</v>
      </c>
      <c r="XI9" t="s">
        <v>2406</v>
      </c>
      <c r="XJ9">
        <v>275</v>
      </c>
      <c r="XL9" s="509" t="s">
        <v>2405</v>
      </c>
      <c r="XM9" t="s">
        <v>2406</v>
      </c>
      <c r="XN9">
        <v>275</v>
      </c>
      <c r="YF9" t="s">
        <v>572</v>
      </c>
      <c r="YG9" t="s">
        <v>2409</v>
      </c>
      <c r="YH9">
        <v>33</v>
      </c>
      <c r="ZT9" t="s">
        <v>556</v>
      </c>
      <c r="ZU9" t="s">
        <v>2410</v>
      </c>
      <c r="ZV9">
        <v>78</v>
      </c>
    </row>
    <row r="10" spans="1:734">
      <c r="A10" t="s">
        <v>538</v>
      </c>
      <c r="B10" t="s">
        <v>1606</v>
      </c>
      <c r="C10">
        <v>541</v>
      </c>
      <c r="G10" s="47" t="s">
        <v>346</v>
      </c>
      <c r="H10" s="164"/>
      <c r="K10" s="159" t="s">
        <v>196</v>
      </c>
      <c r="L10" s="42"/>
      <c r="O10" s="154" t="s">
        <v>110</v>
      </c>
      <c r="P10" s="164"/>
      <c r="Q10" s="152" t="s">
        <v>1635</v>
      </c>
      <c r="S10" s="11" t="s">
        <v>420</v>
      </c>
      <c r="V10" t="e">
        <f>transpose</f>
        <v>#NAME?</v>
      </c>
      <c r="CD10" t="s">
        <v>239</v>
      </c>
      <c r="CE10" t="s">
        <v>1648</v>
      </c>
      <c r="CF10">
        <v>10295</v>
      </c>
      <c r="CH10" t="s">
        <v>239</v>
      </c>
      <c r="CI10" t="s">
        <v>1648</v>
      </c>
      <c r="CJ10">
        <v>10295</v>
      </c>
      <c r="CL10" t="s">
        <v>239</v>
      </c>
      <c r="CM10" t="s">
        <v>1648</v>
      </c>
      <c r="CN10">
        <v>10295</v>
      </c>
      <c r="DB10" t="s">
        <v>1674</v>
      </c>
      <c r="DC10" t="s">
        <v>1675</v>
      </c>
      <c r="DD10">
        <v>600</v>
      </c>
      <c r="DF10" t="s">
        <v>1674</v>
      </c>
      <c r="DG10" t="s">
        <v>1675</v>
      </c>
      <c r="DH10">
        <v>600</v>
      </c>
      <c r="DJ10" t="s">
        <v>1674</v>
      </c>
      <c r="DK10" t="s">
        <v>1675</v>
      </c>
      <c r="DL10">
        <v>600</v>
      </c>
      <c r="DN10" t="s">
        <v>1674</v>
      </c>
      <c r="DO10" t="s">
        <v>1675</v>
      </c>
      <c r="DP10">
        <v>600</v>
      </c>
      <c r="DR10" t="s">
        <v>1674</v>
      </c>
      <c r="DS10" t="s">
        <v>1675</v>
      </c>
      <c r="DT10">
        <v>600</v>
      </c>
      <c r="DV10" t="s">
        <v>277</v>
      </c>
      <c r="DW10" t="s">
        <v>1691</v>
      </c>
      <c r="DX10">
        <v>8000</v>
      </c>
      <c r="DZ10" t="s">
        <v>277</v>
      </c>
      <c r="EA10" t="s">
        <v>1691</v>
      </c>
      <c r="EB10">
        <v>8000</v>
      </c>
      <c r="ED10" t="s">
        <v>277</v>
      </c>
      <c r="EE10" t="s">
        <v>1691</v>
      </c>
      <c r="EF10">
        <v>8000</v>
      </c>
      <c r="EH10" t="s">
        <v>277</v>
      </c>
      <c r="EI10" t="s">
        <v>1691</v>
      </c>
      <c r="EJ10">
        <v>8000</v>
      </c>
      <c r="EL10" t="s">
        <v>277</v>
      </c>
      <c r="EM10" t="s">
        <v>1691</v>
      </c>
      <c r="EN10">
        <v>8000</v>
      </c>
      <c r="EP10" t="s">
        <v>277</v>
      </c>
      <c r="EQ10" t="s">
        <v>1691</v>
      </c>
      <c r="ER10">
        <v>8000</v>
      </c>
      <c r="ET10" t="s">
        <v>1705</v>
      </c>
      <c r="EU10" t="s">
        <v>1706</v>
      </c>
      <c r="EV10">
        <v>165</v>
      </c>
      <c r="EX10" t="s">
        <v>1705</v>
      </c>
      <c r="EY10" t="s">
        <v>1706</v>
      </c>
      <c r="EZ10">
        <v>165</v>
      </c>
      <c r="FB10" t="s">
        <v>1705</v>
      </c>
      <c r="FC10" t="s">
        <v>1706</v>
      </c>
      <c r="FD10">
        <v>165</v>
      </c>
      <c r="FF10" t="s">
        <v>1705</v>
      </c>
      <c r="FG10" t="s">
        <v>1706</v>
      </c>
      <c r="FH10">
        <v>165</v>
      </c>
      <c r="FJ10" t="s">
        <v>1705</v>
      </c>
      <c r="FK10" t="s">
        <v>1706</v>
      </c>
      <c r="FL10">
        <v>165</v>
      </c>
      <c r="FN10" t="s">
        <v>1705</v>
      </c>
      <c r="FO10" t="s">
        <v>1706</v>
      </c>
      <c r="FP10">
        <v>165</v>
      </c>
      <c r="FR10" t="s">
        <v>1705</v>
      </c>
      <c r="FS10" t="s">
        <v>1706</v>
      </c>
      <c r="FT10">
        <v>165</v>
      </c>
      <c r="FV10" t="s">
        <v>1705</v>
      </c>
      <c r="FW10" t="s">
        <v>1706</v>
      </c>
      <c r="FX10">
        <v>165</v>
      </c>
      <c r="FZ10" t="s">
        <v>1705</v>
      </c>
      <c r="GA10" t="s">
        <v>1706</v>
      </c>
      <c r="GB10">
        <v>165</v>
      </c>
      <c r="GD10" t="s">
        <v>1705</v>
      </c>
      <c r="GE10" t="s">
        <v>1715</v>
      </c>
      <c r="GF10">
        <v>165</v>
      </c>
      <c r="GH10" t="s">
        <v>1705</v>
      </c>
      <c r="GI10" t="s">
        <v>1715</v>
      </c>
      <c r="GJ10">
        <v>165</v>
      </c>
      <c r="GL10" t="s">
        <v>1705</v>
      </c>
      <c r="GM10" t="s">
        <v>1715</v>
      </c>
      <c r="GN10">
        <v>165</v>
      </c>
      <c r="GP10" t="s">
        <v>1705</v>
      </c>
      <c r="GQ10" t="s">
        <v>1715</v>
      </c>
      <c r="GR10">
        <v>165</v>
      </c>
      <c r="GT10" t="s">
        <v>1705</v>
      </c>
      <c r="GU10" t="s">
        <v>1715</v>
      </c>
      <c r="GV10">
        <v>165</v>
      </c>
      <c r="GX10" t="s">
        <v>1705</v>
      </c>
      <c r="GY10" t="s">
        <v>1715</v>
      </c>
      <c r="GZ10">
        <v>165</v>
      </c>
      <c r="HB10" t="s">
        <v>1705</v>
      </c>
      <c r="HC10" t="s">
        <v>1715</v>
      </c>
      <c r="HD10">
        <v>165</v>
      </c>
      <c r="HR10" t="s">
        <v>1194</v>
      </c>
      <c r="HS10" t="s">
        <v>1787</v>
      </c>
      <c r="HT10">
        <v>433</v>
      </c>
      <c r="HV10" t="s">
        <v>1194</v>
      </c>
      <c r="HW10" t="s">
        <v>1787</v>
      </c>
      <c r="HX10">
        <v>433</v>
      </c>
      <c r="IL10" t="s">
        <v>1112</v>
      </c>
      <c r="IM10" t="s">
        <v>1808</v>
      </c>
      <c r="IN10">
        <v>624</v>
      </c>
      <c r="IP10" t="s">
        <v>1194</v>
      </c>
      <c r="IQ10" t="s">
        <v>1807</v>
      </c>
      <c r="IR10">
        <v>433</v>
      </c>
      <c r="IT10" t="s">
        <v>1112</v>
      </c>
      <c r="IU10" t="s">
        <v>1808</v>
      </c>
      <c r="IV10">
        <v>624</v>
      </c>
      <c r="IX10" t="s">
        <v>1194</v>
      </c>
      <c r="IY10" t="s">
        <v>1807</v>
      </c>
      <c r="IZ10">
        <v>433</v>
      </c>
      <c r="JB10" t="s">
        <v>1178</v>
      </c>
      <c r="JC10" t="s">
        <v>1812</v>
      </c>
      <c r="JD10">
        <v>876</v>
      </c>
      <c r="JF10" t="s">
        <v>1196</v>
      </c>
      <c r="JG10" t="s">
        <v>1784</v>
      </c>
      <c r="JH10">
        <v>0</v>
      </c>
      <c r="JJ10" t="s">
        <v>1178</v>
      </c>
      <c r="JK10" t="s">
        <v>1812</v>
      </c>
      <c r="JL10">
        <v>876</v>
      </c>
      <c r="JN10" t="s">
        <v>1196</v>
      </c>
      <c r="JO10" t="s">
        <v>1784</v>
      </c>
      <c r="JP10">
        <v>0</v>
      </c>
      <c r="JR10" t="s">
        <v>1056</v>
      </c>
      <c r="JS10" t="s">
        <v>1819</v>
      </c>
      <c r="JT10">
        <v>685</v>
      </c>
      <c r="JV10" t="s">
        <v>1147</v>
      </c>
      <c r="JW10" t="s">
        <v>1847</v>
      </c>
      <c r="JX10">
        <v>840</v>
      </c>
      <c r="JZ10" t="s">
        <v>1145</v>
      </c>
      <c r="KA10" t="s">
        <v>1848</v>
      </c>
      <c r="KB10">
        <v>1041</v>
      </c>
      <c r="KD10" t="s">
        <v>1093</v>
      </c>
      <c r="KE10" t="s">
        <v>871</v>
      </c>
      <c r="KF10">
        <v>26</v>
      </c>
      <c r="KH10" t="s">
        <v>1093</v>
      </c>
      <c r="KI10" t="s">
        <v>871</v>
      </c>
      <c r="KJ10">
        <v>26</v>
      </c>
      <c r="KL10" t="s">
        <v>1245</v>
      </c>
      <c r="KM10" t="s">
        <v>1850</v>
      </c>
      <c r="KN10">
        <v>88</v>
      </c>
      <c r="KP10" t="s">
        <v>1241</v>
      </c>
      <c r="KQ10" t="s">
        <v>1877</v>
      </c>
      <c r="KR10">
        <v>237</v>
      </c>
      <c r="KT10" t="s">
        <v>1094</v>
      </c>
      <c r="KU10" t="s">
        <v>1095</v>
      </c>
      <c r="KV10">
        <v>26</v>
      </c>
      <c r="KX10" t="s">
        <v>1245</v>
      </c>
      <c r="KY10" t="s">
        <v>1850</v>
      </c>
      <c r="KZ10">
        <v>88</v>
      </c>
      <c r="LB10" t="s">
        <v>1131</v>
      </c>
      <c r="LC10" t="s">
        <v>1895</v>
      </c>
      <c r="LD10">
        <v>1051</v>
      </c>
      <c r="LJ10" t="s">
        <v>1222</v>
      </c>
      <c r="LK10" t="s">
        <v>990</v>
      </c>
      <c r="LL10">
        <v>1072</v>
      </c>
      <c r="LN10" t="s">
        <v>1233</v>
      </c>
      <c r="LO10" t="s">
        <v>1915</v>
      </c>
      <c r="LP10">
        <v>387</v>
      </c>
      <c r="LR10" t="s">
        <v>928</v>
      </c>
      <c r="LS10" t="s">
        <v>1788</v>
      </c>
      <c r="LT10">
        <v>-412</v>
      </c>
      <c r="MH10" t="s">
        <v>995</v>
      </c>
      <c r="MI10" t="s">
        <v>996</v>
      </c>
      <c r="MJ10">
        <v>387</v>
      </c>
      <c r="ML10" t="s">
        <v>995</v>
      </c>
      <c r="MM10" t="s">
        <v>996</v>
      </c>
      <c r="MN10">
        <v>387</v>
      </c>
      <c r="MP10" t="s">
        <v>846</v>
      </c>
      <c r="MQ10" t="s">
        <v>1936</v>
      </c>
      <c r="MR10">
        <v>685</v>
      </c>
      <c r="MX10" t="s">
        <v>1425</v>
      </c>
      <c r="MY10" t="str">
        <f t="shared" si="0"/>
        <v>Ultrasonic Base Cabinet</v>
      </c>
      <c r="MZ10">
        <v>752</v>
      </c>
      <c r="NA10" t="str">
        <f t="shared" si="1"/>
        <v>18</v>
      </c>
      <c r="NB10" t="str">
        <f t="shared" si="2"/>
        <v>34</v>
      </c>
      <c r="NC10" t="str">
        <f t="shared" si="3"/>
        <v>24</v>
      </c>
      <c r="NE10" t="s">
        <v>1975</v>
      </c>
      <c r="NF10" t="s">
        <v>1979</v>
      </c>
      <c r="NH10" t="s">
        <v>1007</v>
      </c>
      <c r="NI10" t="s">
        <v>1999</v>
      </c>
      <c r="NJ10">
        <v>608</v>
      </c>
      <c r="NL10" t="s">
        <v>1007</v>
      </c>
      <c r="NM10" t="s">
        <v>1999</v>
      </c>
      <c r="NN10">
        <v>608</v>
      </c>
      <c r="NP10" t="s">
        <v>870</v>
      </c>
      <c r="NQ10" t="s">
        <v>2029</v>
      </c>
      <c r="NR10">
        <v>26</v>
      </c>
      <c r="NT10" t="s">
        <v>872</v>
      </c>
      <c r="NU10" t="s">
        <v>2030</v>
      </c>
      <c r="NV10">
        <v>26</v>
      </c>
      <c r="NX10" t="s">
        <v>840</v>
      </c>
      <c r="NY10" t="s">
        <v>2003</v>
      </c>
      <c r="NZ10">
        <v>624</v>
      </c>
      <c r="OB10" t="s">
        <v>840</v>
      </c>
      <c r="OC10" t="s">
        <v>2003</v>
      </c>
      <c r="OD10">
        <v>624</v>
      </c>
      <c r="ON10" t="s">
        <v>1003</v>
      </c>
      <c r="OO10" t="s">
        <v>1850</v>
      </c>
      <c r="OP10">
        <v>88</v>
      </c>
      <c r="OR10" t="s">
        <v>1003</v>
      </c>
      <c r="OS10" t="s">
        <v>1850</v>
      </c>
      <c r="OT10">
        <v>88</v>
      </c>
      <c r="OV10" t="s">
        <v>933</v>
      </c>
      <c r="OW10" t="s">
        <v>1894</v>
      </c>
      <c r="OX10">
        <v>418</v>
      </c>
      <c r="PD10" t="s">
        <v>989</v>
      </c>
      <c r="PE10" t="s">
        <v>990</v>
      </c>
      <c r="PF10">
        <v>989</v>
      </c>
      <c r="PL10" t="s">
        <v>110</v>
      </c>
      <c r="PM10" t="s">
        <v>1794</v>
      </c>
      <c r="PN10">
        <v>5336</v>
      </c>
      <c r="PP10" t="s">
        <v>110</v>
      </c>
      <c r="PQ10" t="s">
        <v>1794</v>
      </c>
      <c r="PR10">
        <v>5336</v>
      </c>
      <c r="PX10" t="s">
        <v>2085</v>
      </c>
      <c r="PY10" t="s">
        <v>2086</v>
      </c>
      <c r="PZ10">
        <v>598</v>
      </c>
      <c r="QB10" t="s">
        <v>2085</v>
      </c>
      <c r="QC10" t="s">
        <v>2086</v>
      </c>
      <c r="QD10">
        <v>598</v>
      </c>
      <c r="QF10" t="s">
        <v>116</v>
      </c>
      <c r="QG10" t="s">
        <v>2288</v>
      </c>
      <c r="QH10">
        <v>2369</v>
      </c>
      <c r="QJ10" t="s">
        <v>116</v>
      </c>
      <c r="QK10" t="s">
        <v>2288</v>
      </c>
      <c r="QL10">
        <v>2369</v>
      </c>
      <c r="QV10" t="s">
        <v>182</v>
      </c>
      <c r="QW10" t="s">
        <v>2304</v>
      </c>
      <c r="QX10">
        <v>2931</v>
      </c>
      <c r="QZ10" t="s">
        <v>562</v>
      </c>
      <c r="RA10" t="s">
        <v>2305</v>
      </c>
      <c r="RB10">
        <v>495</v>
      </c>
      <c r="RD10" t="s">
        <v>676</v>
      </c>
      <c r="RE10" t="s">
        <v>2335</v>
      </c>
      <c r="RF10">
        <v>3436</v>
      </c>
      <c r="RH10" t="s">
        <v>676</v>
      </c>
      <c r="RI10" t="s">
        <v>2335</v>
      </c>
      <c r="RJ10">
        <v>3436</v>
      </c>
      <c r="RL10" t="s">
        <v>676</v>
      </c>
      <c r="RM10" t="s">
        <v>2335</v>
      </c>
      <c r="RN10">
        <v>3436</v>
      </c>
      <c r="RP10" t="s">
        <v>676</v>
      </c>
      <c r="RQ10" t="s">
        <v>2335</v>
      </c>
      <c r="RR10">
        <v>3436</v>
      </c>
      <c r="RT10" t="s">
        <v>676</v>
      </c>
      <c r="RU10" t="s">
        <v>2335</v>
      </c>
      <c r="RV10">
        <v>3436</v>
      </c>
      <c r="RX10" t="s">
        <v>676</v>
      </c>
      <c r="RY10" t="s">
        <v>2335</v>
      </c>
      <c r="RZ10">
        <v>3436</v>
      </c>
      <c r="SB10" t="s">
        <v>676</v>
      </c>
      <c r="SC10" t="s">
        <v>2335</v>
      </c>
      <c r="SD10">
        <v>3436</v>
      </c>
      <c r="SF10" t="s">
        <v>676</v>
      </c>
      <c r="SG10" t="s">
        <v>2335</v>
      </c>
      <c r="SH10">
        <v>3436</v>
      </c>
      <c r="SJ10" t="s">
        <v>676</v>
      </c>
      <c r="SK10" t="s">
        <v>2335</v>
      </c>
      <c r="SL10">
        <v>3436</v>
      </c>
      <c r="SN10" t="s">
        <v>676</v>
      </c>
      <c r="SO10" t="s">
        <v>2335</v>
      </c>
      <c r="SP10">
        <v>3436</v>
      </c>
      <c r="SR10" t="s">
        <v>676</v>
      </c>
      <c r="SS10" t="s">
        <v>2335</v>
      </c>
      <c r="ST10">
        <v>3436</v>
      </c>
      <c r="SV10" t="s">
        <v>676</v>
      </c>
      <c r="SW10" t="s">
        <v>2335</v>
      </c>
      <c r="SX10">
        <v>3436</v>
      </c>
      <c r="SZ10" t="s">
        <v>676</v>
      </c>
      <c r="TA10" t="s">
        <v>2335</v>
      </c>
      <c r="TB10">
        <v>3436</v>
      </c>
      <c r="TD10" t="s">
        <v>676</v>
      </c>
      <c r="TE10" t="s">
        <v>2335</v>
      </c>
      <c r="TF10">
        <v>3436</v>
      </c>
      <c r="TH10" t="s">
        <v>676</v>
      </c>
      <c r="TI10" t="s">
        <v>2335</v>
      </c>
      <c r="TJ10">
        <v>3436</v>
      </c>
      <c r="TL10" t="s">
        <v>676</v>
      </c>
      <c r="TM10" t="s">
        <v>2335</v>
      </c>
      <c r="TN10">
        <v>3436</v>
      </c>
      <c r="TP10" t="s">
        <v>459</v>
      </c>
      <c r="TQ10" t="s">
        <v>460</v>
      </c>
      <c r="TR10">
        <v>-181</v>
      </c>
      <c r="TT10" t="s">
        <v>459</v>
      </c>
      <c r="TU10" t="s">
        <v>460</v>
      </c>
      <c r="TV10">
        <v>-181</v>
      </c>
      <c r="TX10" t="s">
        <v>459</v>
      </c>
      <c r="TY10" t="s">
        <v>460</v>
      </c>
      <c r="TZ10">
        <v>-181</v>
      </c>
      <c r="UB10" t="s">
        <v>459</v>
      </c>
      <c r="UC10" t="s">
        <v>460</v>
      </c>
      <c r="UD10">
        <v>-181</v>
      </c>
      <c r="UF10" t="s">
        <v>191</v>
      </c>
      <c r="UG10" t="s">
        <v>2356</v>
      </c>
      <c r="UH10">
        <v>2447</v>
      </c>
      <c r="VT10" t="s">
        <v>481</v>
      </c>
      <c r="VU10" t="s">
        <v>2384</v>
      </c>
      <c r="VV10">
        <v>248</v>
      </c>
      <c r="VX10" t="s">
        <v>479</v>
      </c>
      <c r="VY10" t="s">
        <v>2387</v>
      </c>
      <c r="VZ10">
        <v>67</v>
      </c>
      <c r="WB10" t="s">
        <v>604</v>
      </c>
      <c r="WC10" t="s">
        <v>2388</v>
      </c>
      <c r="WD10">
        <v>160</v>
      </c>
      <c r="WV10" s="509" t="s">
        <v>2405</v>
      </c>
      <c r="WW10" t="s">
        <v>2406</v>
      </c>
      <c r="WX10">
        <v>275</v>
      </c>
      <c r="XD10" s="509" t="s">
        <v>2405</v>
      </c>
      <c r="XE10" t="s">
        <v>2406</v>
      </c>
      <c r="XF10">
        <v>275</v>
      </c>
      <c r="XT10" s="509"/>
      <c r="YF10" t="s">
        <v>2405</v>
      </c>
      <c r="YG10" t="s">
        <v>2406</v>
      </c>
      <c r="YH10">
        <v>275</v>
      </c>
    </row>
    <row r="11" spans="1:734">
      <c r="A11" t="s">
        <v>412</v>
      </c>
      <c r="B11" t="s">
        <v>1608</v>
      </c>
      <c r="C11">
        <v>98</v>
      </c>
      <c r="G11" s="47" t="s">
        <v>348</v>
      </c>
      <c r="H11" s="164"/>
      <c r="K11" s="159" t="s">
        <v>198</v>
      </c>
      <c r="L11" s="164"/>
      <c r="O11" s="154" t="s">
        <v>112</v>
      </c>
      <c r="P11" s="164"/>
      <c r="Q11" s="151" t="s">
        <v>221</v>
      </c>
      <c r="S11" s="11" t="s">
        <v>421</v>
      </c>
      <c r="DV11" t="s">
        <v>279</v>
      </c>
      <c r="DW11" t="s">
        <v>1692</v>
      </c>
      <c r="DX11">
        <v>2000</v>
      </c>
      <c r="DZ11" t="s">
        <v>279</v>
      </c>
      <c r="EA11" t="s">
        <v>1692</v>
      </c>
      <c r="EB11">
        <v>2000</v>
      </c>
      <c r="ED11" t="s">
        <v>279</v>
      </c>
      <c r="EE11" t="s">
        <v>1692</v>
      </c>
      <c r="EF11">
        <v>2000</v>
      </c>
      <c r="EH11" t="s">
        <v>279</v>
      </c>
      <c r="EI11" t="s">
        <v>1692</v>
      </c>
      <c r="EJ11">
        <v>2000</v>
      </c>
      <c r="EL11" t="s">
        <v>279</v>
      </c>
      <c r="EM11" t="s">
        <v>1692</v>
      </c>
      <c r="EN11">
        <v>2000</v>
      </c>
      <c r="EP11" t="s">
        <v>279</v>
      </c>
      <c r="EQ11" t="s">
        <v>1692</v>
      </c>
      <c r="ER11">
        <v>2000</v>
      </c>
      <c r="ET11" t="s">
        <v>1707</v>
      </c>
      <c r="EU11" t="s">
        <v>1708</v>
      </c>
      <c r="EV11">
        <v>474</v>
      </c>
      <c r="EX11" t="s">
        <v>1707</v>
      </c>
      <c r="EY11" t="s">
        <v>1708</v>
      </c>
      <c r="EZ11">
        <v>474</v>
      </c>
      <c r="FB11" t="s">
        <v>1707</v>
      </c>
      <c r="FC11" t="s">
        <v>1708</v>
      </c>
      <c r="FD11">
        <v>474</v>
      </c>
      <c r="FF11" t="s">
        <v>1707</v>
      </c>
      <c r="FG11" t="s">
        <v>1708</v>
      </c>
      <c r="FH11">
        <v>474</v>
      </c>
      <c r="FJ11" t="s">
        <v>1707</v>
      </c>
      <c r="FK11" t="s">
        <v>1708</v>
      </c>
      <c r="FL11">
        <v>474</v>
      </c>
      <c r="FN11" t="s">
        <v>1707</v>
      </c>
      <c r="FO11" t="s">
        <v>1708</v>
      </c>
      <c r="FP11">
        <v>474</v>
      </c>
      <c r="FR11" t="s">
        <v>1707</v>
      </c>
      <c r="FS11" t="s">
        <v>1708</v>
      </c>
      <c r="FT11">
        <v>474</v>
      </c>
      <c r="FV11" t="s">
        <v>1707</v>
      </c>
      <c r="FW11" t="s">
        <v>1708</v>
      </c>
      <c r="FX11">
        <v>474</v>
      </c>
      <c r="FZ11" t="s">
        <v>1707</v>
      </c>
      <c r="GA11" t="s">
        <v>1708</v>
      </c>
      <c r="GB11">
        <v>474</v>
      </c>
      <c r="GD11" t="s">
        <v>1713</v>
      </c>
      <c r="GE11" t="s">
        <v>1716</v>
      </c>
      <c r="GF11">
        <v>474</v>
      </c>
      <c r="GH11" t="s">
        <v>1713</v>
      </c>
      <c r="GI11" t="s">
        <v>1716</v>
      </c>
      <c r="GJ11">
        <v>474</v>
      </c>
      <c r="GL11" t="s">
        <v>1713</v>
      </c>
      <c r="GM11" t="s">
        <v>1716</v>
      </c>
      <c r="GN11">
        <v>474</v>
      </c>
      <c r="GP11" t="s">
        <v>1713</v>
      </c>
      <c r="GQ11" t="s">
        <v>1716</v>
      </c>
      <c r="GR11">
        <v>474</v>
      </c>
      <c r="GT11" t="s">
        <v>1713</v>
      </c>
      <c r="GU11" t="s">
        <v>1716</v>
      </c>
      <c r="GV11">
        <v>474</v>
      </c>
      <c r="GX11" t="s">
        <v>1713</v>
      </c>
      <c r="GY11" t="s">
        <v>1716</v>
      </c>
      <c r="GZ11">
        <v>474</v>
      </c>
      <c r="HB11" t="s">
        <v>1713</v>
      </c>
      <c r="HC11" t="s">
        <v>1716</v>
      </c>
      <c r="HD11">
        <v>474</v>
      </c>
      <c r="HR11" t="s">
        <v>1161</v>
      </c>
      <c r="HS11" t="s">
        <v>1788</v>
      </c>
      <c r="HT11">
        <v>-412</v>
      </c>
      <c r="HV11" t="s">
        <v>1161</v>
      </c>
      <c r="HW11" t="s">
        <v>1788</v>
      </c>
      <c r="HX11">
        <v>-412</v>
      </c>
      <c r="IL11" t="s">
        <v>1137</v>
      </c>
      <c r="IM11" t="s">
        <v>1810</v>
      </c>
      <c r="IN11">
        <v>1278</v>
      </c>
      <c r="IP11" t="s">
        <v>1161</v>
      </c>
      <c r="IQ11" t="s">
        <v>1788</v>
      </c>
      <c r="IR11">
        <v>-412</v>
      </c>
      <c r="IT11" t="s">
        <v>1137</v>
      </c>
      <c r="IU11" t="s">
        <v>1810</v>
      </c>
      <c r="IV11">
        <v>1278</v>
      </c>
      <c r="IX11" t="s">
        <v>1161</v>
      </c>
      <c r="IY11" t="s">
        <v>1788</v>
      </c>
      <c r="IZ11">
        <v>-412</v>
      </c>
      <c r="JB11" t="s">
        <v>1162</v>
      </c>
      <c r="JC11" t="s">
        <v>1814</v>
      </c>
      <c r="JD11">
        <v>1664</v>
      </c>
      <c r="JF11" t="s">
        <v>1168</v>
      </c>
      <c r="JG11" t="s">
        <v>1785</v>
      </c>
      <c r="JH11">
        <v>361</v>
      </c>
      <c r="JJ11" t="s">
        <v>1162</v>
      </c>
      <c r="JK11" t="s">
        <v>1814</v>
      </c>
      <c r="JL11">
        <v>1664</v>
      </c>
      <c r="JN11" t="s">
        <v>1168</v>
      </c>
      <c r="JO11" t="s">
        <v>1785</v>
      </c>
      <c r="JP11">
        <v>361</v>
      </c>
      <c r="JR11" t="s">
        <v>1062</v>
      </c>
      <c r="JS11" t="s">
        <v>1820</v>
      </c>
      <c r="JT11">
        <v>685</v>
      </c>
      <c r="JV11" t="s">
        <v>1071</v>
      </c>
      <c r="JW11" t="s">
        <v>1072</v>
      </c>
      <c r="JX11">
        <v>299</v>
      </c>
      <c r="JZ11" t="s">
        <v>1071</v>
      </c>
      <c r="KA11" t="s">
        <v>1072</v>
      </c>
      <c r="KB11">
        <v>299</v>
      </c>
      <c r="KD11" t="s">
        <v>1124</v>
      </c>
      <c r="KE11" t="s">
        <v>1859</v>
      </c>
      <c r="KF11">
        <v>783</v>
      </c>
      <c r="KH11" t="s">
        <v>1126</v>
      </c>
      <c r="KI11" t="s">
        <v>1869</v>
      </c>
      <c r="KJ11">
        <v>783</v>
      </c>
      <c r="KL11" t="s">
        <v>1231</v>
      </c>
      <c r="KM11" t="s">
        <v>1878</v>
      </c>
      <c r="KN11">
        <v>88</v>
      </c>
      <c r="KP11" t="s">
        <v>1245</v>
      </c>
      <c r="KQ11" t="s">
        <v>1850</v>
      </c>
      <c r="KR11">
        <v>88</v>
      </c>
      <c r="KT11" t="s">
        <v>1241</v>
      </c>
      <c r="KU11" t="s">
        <v>1877</v>
      </c>
      <c r="KV11">
        <v>237</v>
      </c>
      <c r="KX11" t="s">
        <v>1231</v>
      </c>
      <c r="KY11" t="s">
        <v>1878</v>
      </c>
      <c r="KZ11">
        <v>88</v>
      </c>
      <c r="LB11" t="s">
        <v>1208</v>
      </c>
      <c r="LC11" t="s">
        <v>1896</v>
      </c>
      <c r="LD11">
        <v>433</v>
      </c>
      <c r="LJ11" t="s">
        <v>1223</v>
      </c>
      <c r="LK11" t="s">
        <v>992</v>
      </c>
      <c r="LL11">
        <v>510</v>
      </c>
      <c r="LN11" t="s">
        <v>1222</v>
      </c>
      <c r="LO11" t="s">
        <v>990</v>
      </c>
      <c r="LP11">
        <v>1072</v>
      </c>
      <c r="LR11" t="s">
        <v>995</v>
      </c>
      <c r="LS11" t="s">
        <v>996</v>
      </c>
      <c r="LT11">
        <v>387</v>
      </c>
      <c r="MH11" t="s">
        <v>882</v>
      </c>
      <c r="MI11" t="s">
        <v>1894</v>
      </c>
      <c r="MJ11">
        <v>840</v>
      </c>
      <c r="ML11" t="s">
        <v>882</v>
      </c>
      <c r="MM11" t="s">
        <v>1894</v>
      </c>
      <c r="MN11">
        <v>840</v>
      </c>
      <c r="MP11" t="s">
        <v>850</v>
      </c>
      <c r="MQ11" t="s">
        <v>1937</v>
      </c>
      <c r="MR11">
        <v>685</v>
      </c>
      <c r="MX11" t="s">
        <v>1427</v>
      </c>
      <c r="MY11" t="str">
        <f t="shared" si="0"/>
        <v>Ultrasonic Base Cabinet</v>
      </c>
      <c r="MZ11">
        <v>763</v>
      </c>
      <c r="NA11" t="str">
        <f t="shared" si="1"/>
        <v>19</v>
      </c>
      <c r="NB11" t="str">
        <f t="shared" si="2"/>
        <v>34</v>
      </c>
      <c r="NC11" t="str">
        <f t="shared" si="3"/>
        <v>24</v>
      </c>
      <c r="NE11" t="s">
        <v>1976</v>
      </c>
      <c r="NF11" t="s">
        <v>1980</v>
      </c>
      <c r="NH11" t="s">
        <v>112</v>
      </c>
      <c r="NI11" t="s">
        <v>1853</v>
      </c>
      <c r="NJ11">
        <v>3595</v>
      </c>
      <c r="NL11" t="s">
        <v>112</v>
      </c>
      <c r="NM11" t="s">
        <v>1853</v>
      </c>
      <c r="NN11">
        <v>3595</v>
      </c>
      <c r="NP11" t="s">
        <v>892</v>
      </c>
      <c r="NQ11" t="s">
        <v>2031</v>
      </c>
      <c r="NR11">
        <v>1175</v>
      </c>
      <c r="NT11" t="s">
        <v>112</v>
      </c>
      <c r="NU11" t="s">
        <v>1853</v>
      </c>
      <c r="NV11">
        <v>3595</v>
      </c>
      <c r="NX11" t="s">
        <v>870</v>
      </c>
      <c r="NY11" t="s">
        <v>2029</v>
      </c>
      <c r="NZ11">
        <v>26</v>
      </c>
      <c r="OB11" t="s">
        <v>872</v>
      </c>
      <c r="OC11" t="s">
        <v>2030</v>
      </c>
      <c r="OD11">
        <v>26</v>
      </c>
      <c r="ON11" t="s">
        <v>876</v>
      </c>
      <c r="OO11" t="s">
        <v>1851</v>
      </c>
      <c r="OP11">
        <v>237</v>
      </c>
      <c r="OR11" t="s">
        <v>876</v>
      </c>
      <c r="OS11" t="s">
        <v>1851</v>
      </c>
      <c r="OT11">
        <v>237</v>
      </c>
      <c r="OV11" t="s">
        <v>924</v>
      </c>
      <c r="OW11" t="s">
        <v>1895</v>
      </c>
      <c r="OX11">
        <v>794</v>
      </c>
      <c r="PD11" t="s">
        <v>991</v>
      </c>
      <c r="PE11" t="s">
        <v>992</v>
      </c>
      <c r="PF11">
        <v>490</v>
      </c>
      <c r="QF11" t="s">
        <v>118</v>
      </c>
      <c r="QG11" t="s">
        <v>2289</v>
      </c>
      <c r="QH11">
        <v>1190</v>
      </c>
      <c r="QJ11" t="s">
        <v>118</v>
      </c>
      <c r="QK11" t="s">
        <v>2289</v>
      </c>
      <c r="QL11">
        <v>1190</v>
      </c>
      <c r="QV11" t="s">
        <v>562</v>
      </c>
      <c r="QW11" t="s">
        <v>2305</v>
      </c>
      <c r="QX11">
        <v>495</v>
      </c>
      <c r="QZ11" t="s">
        <v>564</v>
      </c>
      <c r="RA11" t="s">
        <v>2306</v>
      </c>
      <c r="RB11">
        <v>206</v>
      </c>
      <c r="RD11" t="s">
        <v>678</v>
      </c>
      <c r="RE11" t="s">
        <v>2336</v>
      </c>
      <c r="RF11">
        <v>1803</v>
      </c>
      <c r="RH11" t="s">
        <v>678</v>
      </c>
      <c r="RI11" t="s">
        <v>2336</v>
      </c>
      <c r="RJ11">
        <v>1803</v>
      </c>
      <c r="RL11" t="s">
        <v>678</v>
      </c>
      <c r="RM11" t="s">
        <v>2336</v>
      </c>
      <c r="RN11">
        <v>1803</v>
      </c>
      <c r="RP11" t="s">
        <v>678</v>
      </c>
      <c r="RQ11" t="s">
        <v>2336</v>
      </c>
      <c r="RR11">
        <v>1803</v>
      </c>
      <c r="RT11" t="s">
        <v>678</v>
      </c>
      <c r="RU11" t="s">
        <v>2336</v>
      </c>
      <c r="RV11">
        <v>1803</v>
      </c>
      <c r="RX11" t="s">
        <v>678</v>
      </c>
      <c r="RY11" t="s">
        <v>2336</v>
      </c>
      <c r="RZ11">
        <v>1803</v>
      </c>
      <c r="SB11" t="s">
        <v>678</v>
      </c>
      <c r="SC11" t="s">
        <v>2336</v>
      </c>
      <c r="SD11">
        <v>1803</v>
      </c>
      <c r="SF11" t="s">
        <v>678</v>
      </c>
      <c r="SG11" t="s">
        <v>2336</v>
      </c>
      <c r="SH11">
        <v>1803</v>
      </c>
      <c r="SJ11" t="s">
        <v>678</v>
      </c>
      <c r="SK11" t="s">
        <v>2336</v>
      </c>
      <c r="SL11">
        <v>1803</v>
      </c>
      <c r="SN11" t="s">
        <v>678</v>
      </c>
      <c r="SO11" t="s">
        <v>2336</v>
      </c>
      <c r="SP11">
        <v>1803</v>
      </c>
      <c r="SR11" t="s">
        <v>678</v>
      </c>
      <c r="SS11" t="s">
        <v>2336</v>
      </c>
      <c r="ST11">
        <v>1803</v>
      </c>
      <c r="SV11" t="s">
        <v>678</v>
      </c>
      <c r="SW11" t="s">
        <v>2336</v>
      </c>
      <c r="SX11">
        <v>1803</v>
      </c>
      <c r="SZ11" t="s">
        <v>678</v>
      </c>
      <c r="TA11" t="s">
        <v>2336</v>
      </c>
      <c r="TB11">
        <v>1803</v>
      </c>
      <c r="TD11" t="s">
        <v>678</v>
      </c>
      <c r="TE11" t="s">
        <v>2336</v>
      </c>
      <c r="TF11">
        <v>1803</v>
      </c>
      <c r="TH11" t="s">
        <v>678</v>
      </c>
      <c r="TI11" t="s">
        <v>2336</v>
      </c>
      <c r="TJ11">
        <v>1803</v>
      </c>
      <c r="TL11" t="s">
        <v>678</v>
      </c>
      <c r="TM11" t="s">
        <v>2336</v>
      </c>
      <c r="TN11">
        <v>1803</v>
      </c>
      <c r="TP11" t="s">
        <v>467</v>
      </c>
      <c r="TQ11" t="s">
        <v>2353</v>
      </c>
      <c r="TR11">
        <v>124</v>
      </c>
      <c r="TT11" t="s">
        <v>467</v>
      </c>
      <c r="TU11" t="s">
        <v>2353</v>
      </c>
      <c r="TV11">
        <v>124</v>
      </c>
      <c r="TX11" t="s">
        <v>467</v>
      </c>
      <c r="TY11" t="s">
        <v>2353</v>
      </c>
      <c r="TZ11">
        <v>124</v>
      </c>
      <c r="UB11" t="s">
        <v>467</v>
      </c>
      <c r="UC11" t="s">
        <v>2353</v>
      </c>
      <c r="UD11">
        <v>124</v>
      </c>
      <c r="UF11" t="s">
        <v>502</v>
      </c>
      <c r="UG11" t="s">
        <v>2377</v>
      </c>
      <c r="UH11">
        <v>52</v>
      </c>
      <c r="VT11" t="s">
        <v>461</v>
      </c>
      <c r="VU11" t="s">
        <v>2385</v>
      </c>
      <c r="VV11">
        <v>464</v>
      </c>
      <c r="VX11" t="s">
        <v>604</v>
      </c>
      <c r="VY11" t="s">
        <v>2388</v>
      </c>
      <c r="VZ11">
        <v>160</v>
      </c>
      <c r="XT11" s="509"/>
    </row>
    <row r="12" spans="1:734">
      <c r="A12" t="s">
        <v>1598</v>
      </c>
      <c r="B12" t="s">
        <v>1609</v>
      </c>
      <c r="C12">
        <v>526</v>
      </c>
      <c r="G12" s="47" t="s">
        <v>371</v>
      </c>
      <c r="H12" s="164"/>
      <c r="K12" s="159" t="s">
        <v>200</v>
      </c>
      <c r="L12" s="164"/>
      <c r="O12" s="154" t="s">
        <v>114</v>
      </c>
      <c r="P12" s="164"/>
      <c r="Q12" s="151" t="s">
        <v>1638</v>
      </c>
      <c r="S12" s="51" t="s">
        <v>423</v>
      </c>
      <c r="DV12" t="s">
        <v>1693</v>
      </c>
      <c r="DW12" t="s">
        <v>1694</v>
      </c>
      <c r="DX12">
        <v>1200</v>
      </c>
      <c r="DZ12" t="s">
        <v>1693</v>
      </c>
      <c r="EA12" t="s">
        <v>1694</v>
      </c>
      <c r="EB12">
        <v>1200</v>
      </c>
      <c r="ED12" t="s">
        <v>1693</v>
      </c>
      <c r="EE12" t="s">
        <v>1694</v>
      </c>
      <c r="EF12">
        <v>1200</v>
      </c>
      <c r="EH12" t="s">
        <v>1693</v>
      </c>
      <c r="EI12" t="s">
        <v>1694</v>
      </c>
      <c r="EJ12">
        <v>1200</v>
      </c>
      <c r="EL12" t="s">
        <v>1693</v>
      </c>
      <c r="EM12" t="s">
        <v>1694</v>
      </c>
      <c r="EN12">
        <v>1200</v>
      </c>
      <c r="EP12" t="s">
        <v>1693</v>
      </c>
      <c r="EQ12" t="s">
        <v>1694</v>
      </c>
      <c r="ER12">
        <v>1200</v>
      </c>
      <c r="HR12" t="s">
        <v>1108</v>
      </c>
      <c r="HS12" t="s">
        <v>1789</v>
      </c>
      <c r="HT12">
        <v>840</v>
      </c>
      <c r="HV12" t="s">
        <v>1108</v>
      </c>
      <c r="HW12" t="s">
        <v>1789</v>
      </c>
      <c r="HX12">
        <v>840</v>
      </c>
      <c r="IL12" t="s">
        <v>1208</v>
      </c>
      <c r="IM12" t="s">
        <v>1791</v>
      </c>
      <c r="IN12">
        <v>433</v>
      </c>
      <c r="IP12" t="s">
        <v>1208</v>
      </c>
      <c r="IQ12" t="s">
        <v>1791</v>
      </c>
      <c r="IR12">
        <v>433</v>
      </c>
      <c r="IT12" t="s">
        <v>1208</v>
      </c>
      <c r="IU12" t="s">
        <v>1791</v>
      </c>
      <c r="IV12">
        <v>433</v>
      </c>
      <c r="IX12" t="s">
        <v>1208</v>
      </c>
      <c r="IY12" t="s">
        <v>1791</v>
      </c>
      <c r="IZ12">
        <v>433</v>
      </c>
      <c r="JB12" t="s">
        <v>1208</v>
      </c>
      <c r="JC12" t="s">
        <v>1791</v>
      </c>
      <c r="JD12">
        <v>433</v>
      </c>
      <c r="JF12" t="s">
        <v>1198</v>
      </c>
      <c r="JG12" t="s">
        <v>1786</v>
      </c>
      <c r="JH12">
        <v>325</v>
      </c>
      <c r="JJ12" t="s">
        <v>1208</v>
      </c>
      <c r="JK12" t="s">
        <v>1791</v>
      </c>
      <c r="JL12">
        <v>433</v>
      </c>
      <c r="JN12" t="s">
        <v>1198</v>
      </c>
      <c r="JO12" t="s">
        <v>1786</v>
      </c>
      <c r="JP12">
        <v>325</v>
      </c>
      <c r="JR12" t="s">
        <v>1719</v>
      </c>
      <c r="JS12" t="s">
        <v>1821</v>
      </c>
      <c r="JT12">
        <v>2699</v>
      </c>
      <c r="JV12" t="s">
        <v>1073</v>
      </c>
      <c r="JW12" t="s">
        <v>1849</v>
      </c>
      <c r="JX12">
        <v>706</v>
      </c>
      <c r="JZ12" t="s">
        <v>1073</v>
      </c>
      <c r="KA12" t="s">
        <v>1849</v>
      </c>
      <c r="KB12">
        <v>706</v>
      </c>
      <c r="KD12" t="s">
        <v>1149</v>
      </c>
      <c r="KE12" t="s">
        <v>1860</v>
      </c>
      <c r="KF12">
        <v>974</v>
      </c>
      <c r="KH12" t="s">
        <v>1151</v>
      </c>
      <c r="KI12" t="s">
        <v>1870</v>
      </c>
      <c r="KJ12">
        <v>974</v>
      </c>
      <c r="KL12" t="s">
        <v>1200</v>
      </c>
      <c r="KM12" t="s">
        <v>1879</v>
      </c>
      <c r="KN12">
        <v>866</v>
      </c>
      <c r="KP12" t="s">
        <v>1231</v>
      </c>
      <c r="KQ12" t="s">
        <v>1878</v>
      </c>
      <c r="KR12">
        <v>88</v>
      </c>
      <c r="KT12" t="s">
        <v>1245</v>
      </c>
      <c r="KU12" t="s">
        <v>1850</v>
      </c>
      <c r="KV12">
        <v>88</v>
      </c>
      <c r="KX12" t="s">
        <v>1170</v>
      </c>
      <c r="KY12" t="s">
        <v>1885</v>
      </c>
      <c r="KZ12">
        <v>783</v>
      </c>
      <c r="LB12" t="s">
        <v>1204</v>
      </c>
      <c r="LC12" t="s">
        <v>1792</v>
      </c>
      <c r="LD12">
        <v>598</v>
      </c>
      <c r="LJ12" t="s">
        <v>1234</v>
      </c>
      <c r="LK12" t="s">
        <v>1906</v>
      </c>
      <c r="LL12">
        <v>624</v>
      </c>
      <c r="LN12" t="s">
        <v>1223</v>
      </c>
      <c r="LO12" t="s">
        <v>992</v>
      </c>
      <c r="LP12">
        <v>1072</v>
      </c>
      <c r="LR12" t="s">
        <v>878</v>
      </c>
      <c r="LS12" t="s">
        <v>1894</v>
      </c>
      <c r="LT12">
        <v>1030</v>
      </c>
      <c r="MH12" t="s">
        <v>906</v>
      </c>
      <c r="MI12" t="s">
        <v>1895</v>
      </c>
      <c r="MJ12">
        <v>1324</v>
      </c>
      <c r="ML12" t="s">
        <v>906</v>
      </c>
      <c r="MM12" t="s">
        <v>1895</v>
      </c>
      <c r="MN12">
        <v>1324</v>
      </c>
      <c r="MP12" t="s">
        <v>1719</v>
      </c>
      <c r="MQ12" t="s">
        <v>1821</v>
      </c>
      <c r="MR12">
        <v>2699</v>
      </c>
      <c r="MX12" t="s">
        <v>1431</v>
      </c>
      <c r="MY12" t="str">
        <f t="shared" si="0"/>
        <v>Ultrasonic Base Cabinet</v>
      </c>
      <c r="MZ12">
        <v>773</v>
      </c>
      <c r="NA12" t="str">
        <f t="shared" si="1"/>
        <v>20</v>
      </c>
      <c r="NB12" t="str">
        <f t="shared" si="2"/>
        <v>34</v>
      </c>
      <c r="NC12" t="str">
        <f t="shared" si="3"/>
        <v>24</v>
      </c>
      <c r="NE12" t="s">
        <v>1977</v>
      </c>
      <c r="NF12" t="s">
        <v>1981</v>
      </c>
      <c r="NH12" t="s">
        <v>114</v>
      </c>
      <c r="NI12" t="s">
        <v>1854</v>
      </c>
      <c r="NJ12">
        <v>2488</v>
      </c>
      <c r="NL12" t="s">
        <v>114</v>
      </c>
      <c r="NM12" t="s">
        <v>1854</v>
      </c>
      <c r="NN12">
        <v>2488</v>
      </c>
      <c r="NP12" t="s">
        <v>916</v>
      </c>
      <c r="NQ12" t="s">
        <v>2034</v>
      </c>
      <c r="NR12">
        <v>1638</v>
      </c>
      <c r="NT12" t="s">
        <v>114</v>
      </c>
      <c r="NU12" t="s">
        <v>1854</v>
      </c>
      <c r="NV12">
        <v>2488</v>
      </c>
      <c r="NX12" t="s">
        <v>892</v>
      </c>
      <c r="NY12" t="s">
        <v>2031</v>
      </c>
      <c r="NZ12">
        <v>1175</v>
      </c>
      <c r="OB12" t="s">
        <v>953</v>
      </c>
      <c r="OC12" t="s">
        <v>954</v>
      </c>
      <c r="OD12">
        <v>191</v>
      </c>
      <c r="ON12" t="s">
        <v>1005</v>
      </c>
      <c r="OO12" t="s">
        <v>2042</v>
      </c>
      <c r="OP12">
        <v>454</v>
      </c>
      <c r="OR12" t="s">
        <v>1005</v>
      </c>
      <c r="OS12" t="s">
        <v>2042</v>
      </c>
      <c r="OT12">
        <v>454</v>
      </c>
      <c r="OV12" t="s">
        <v>977</v>
      </c>
      <c r="OW12" t="s">
        <v>2060</v>
      </c>
      <c r="OX12">
        <v>598</v>
      </c>
      <c r="PD12" t="s">
        <v>931</v>
      </c>
      <c r="PE12" t="s">
        <v>1907</v>
      </c>
      <c r="PF12">
        <v>665</v>
      </c>
      <c r="QF12" t="s">
        <v>112</v>
      </c>
      <c r="QG12" t="s">
        <v>2291</v>
      </c>
      <c r="QH12">
        <v>3595</v>
      </c>
      <c r="QJ12" t="s">
        <v>112</v>
      </c>
      <c r="QK12" t="s">
        <v>2291</v>
      </c>
      <c r="QL12">
        <v>3595</v>
      </c>
      <c r="QV12" t="s">
        <v>564</v>
      </c>
      <c r="QW12" t="s">
        <v>2306</v>
      </c>
      <c r="QX12">
        <v>206</v>
      </c>
      <c r="QZ12" t="s">
        <v>566</v>
      </c>
      <c r="RA12" t="s">
        <v>2307</v>
      </c>
      <c r="RB12">
        <v>222</v>
      </c>
      <c r="RD12" t="s">
        <v>684</v>
      </c>
      <c r="RE12" t="s">
        <v>2337</v>
      </c>
      <c r="RF12">
        <v>4115</v>
      </c>
      <c r="RH12" t="s">
        <v>684</v>
      </c>
      <c r="RI12" t="s">
        <v>2337</v>
      </c>
      <c r="RJ12">
        <v>4115</v>
      </c>
      <c r="RL12" t="s">
        <v>684</v>
      </c>
      <c r="RM12" t="s">
        <v>2337</v>
      </c>
      <c r="RN12">
        <v>4115</v>
      </c>
      <c r="RP12" t="s">
        <v>684</v>
      </c>
      <c r="RQ12" t="s">
        <v>2337</v>
      </c>
      <c r="RR12">
        <v>4115</v>
      </c>
      <c r="RT12" t="s">
        <v>684</v>
      </c>
      <c r="RU12" t="s">
        <v>2337</v>
      </c>
      <c r="RV12">
        <v>4115</v>
      </c>
      <c r="RX12" t="s">
        <v>684</v>
      </c>
      <c r="RY12" t="s">
        <v>2337</v>
      </c>
      <c r="RZ12">
        <v>4115</v>
      </c>
      <c r="SB12" t="s">
        <v>684</v>
      </c>
      <c r="SC12" t="s">
        <v>2337</v>
      </c>
      <c r="SD12">
        <v>4115</v>
      </c>
      <c r="SF12" t="s">
        <v>684</v>
      </c>
      <c r="SG12" t="s">
        <v>2337</v>
      </c>
      <c r="SH12">
        <v>4115</v>
      </c>
      <c r="SJ12" t="s">
        <v>684</v>
      </c>
      <c r="SK12" t="s">
        <v>2337</v>
      </c>
      <c r="SL12">
        <v>4115</v>
      </c>
      <c r="SN12" t="s">
        <v>684</v>
      </c>
      <c r="SO12" t="s">
        <v>2337</v>
      </c>
      <c r="SP12">
        <v>4115</v>
      </c>
      <c r="SR12" t="s">
        <v>684</v>
      </c>
      <c r="SS12" t="s">
        <v>2337</v>
      </c>
      <c r="ST12">
        <v>4115</v>
      </c>
      <c r="SV12" t="s">
        <v>684</v>
      </c>
      <c r="SW12" t="s">
        <v>2337</v>
      </c>
      <c r="SX12">
        <v>4115</v>
      </c>
      <c r="SZ12" t="s">
        <v>684</v>
      </c>
      <c r="TA12" t="s">
        <v>2337</v>
      </c>
      <c r="TB12">
        <v>4115</v>
      </c>
      <c r="TD12" t="s">
        <v>684</v>
      </c>
      <c r="TE12" t="s">
        <v>2337</v>
      </c>
      <c r="TF12">
        <v>4115</v>
      </c>
      <c r="TH12" t="s">
        <v>684</v>
      </c>
      <c r="TI12" t="s">
        <v>2337</v>
      </c>
      <c r="TJ12">
        <v>4115</v>
      </c>
      <c r="TL12" t="s">
        <v>684</v>
      </c>
      <c r="TM12" t="s">
        <v>2337</v>
      </c>
      <c r="TN12">
        <v>4115</v>
      </c>
      <c r="TP12" t="s">
        <v>469</v>
      </c>
      <c r="TQ12" t="s">
        <v>2354</v>
      </c>
      <c r="TR12">
        <v>824</v>
      </c>
      <c r="TT12" t="s">
        <v>469</v>
      </c>
      <c r="TU12" t="s">
        <v>2354</v>
      </c>
      <c r="TV12">
        <v>824</v>
      </c>
      <c r="TX12" t="s">
        <v>469</v>
      </c>
      <c r="TY12" t="s">
        <v>2354</v>
      </c>
      <c r="TZ12">
        <v>824</v>
      </c>
      <c r="UB12" t="s">
        <v>469</v>
      </c>
      <c r="UC12" t="s">
        <v>2354</v>
      </c>
      <c r="UD12">
        <v>824</v>
      </c>
      <c r="UF12" t="s">
        <v>504</v>
      </c>
      <c r="UG12" t="s">
        <v>2397</v>
      </c>
      <c r="UH12">
        <v>62</v>
      </c>
      <c r="VT12" t="s">
        <v>463</v>
      </c>
      <c r="VU12" t="s">
        <v>2386</v>
      </c>
      <c r="VV12">
        <v>464</v>
      </c>
    </row>
    <row r="13" spans="1:734">
      <c r="A13" s="172" t="s">
        <v>1626</v>
      </c>
      <c r="B13" t="s">
        <v>1625</v>
      </c>
      <c r="C13">
        <v>0</v>
      </c>
      <c r="G13" s="47" t="s">
        <v>350</v>
      </c>
      <c r="H13" s="164"/>
      <c r="K13" s="159" t="s">
        <v>202</v>
      </c>
      <c r="L13" s="164"/>
      <c r="O13" s="154" t="s">
        <v>116</v>
      </c>
      <c r="P13" s="164"/>
      <c r="Q13" s="153" t="s">
        <v>277</v>
      </c>
      <c r="S13" s="11" t="s">
        <v>425</v>
      </c>
      <c r="DV13" t="s">
        <v>1674</v>
      </c>
      <c r="DW13" t="s">
        <v>1675</v>
      </c>
      <c r="DX13">
        <v>600</v>
      </c>
      <c r="DZ13" t="s">
        <v>1674</v>
      </c>
      <c r="EA13" t="s">
        <v>1675</v>
      </c>
      <c r="EB13">
        <v>600</v>
      </c>
      <c r="ED13" t="s">
        <v>1674</v>
      </c>
      <c r="EE13" t="s">
        <v>1675</v>
      </c>
      <c r="EF13">
        <v>600</v>
      </c>
      <c r="EH13" t="s">
        <v>1674</v>
      </c>
      <c r="EI13" t="s">
        <v>1675</v>
      </c>
      <c r="EJ13">
        <v>600</v>
      </c>
      <c r="EL13" t="s">
        <v>1674</v>
      </c>
      <c r="EM13" t="s">
        <v>1675</v>
      </c>
      <c r="EN13">
        <v>600</v>
      </c>
      <c r="EP13" t="s">
        <v>1674</v>
      </c>
      <c r="EQ13" t="s">
        <v>1675</v>
      </c>
      <c r="ER13">
        <v>600</v>
      </c>
      <c r="HR13" t="s">
        <v>1133</v>
      </c>
      <c r="HS13" t="s">
        <v>1790</v>
      </c>
      <c r="HT13">
        <v>1927</v>
      </c>
      <c r="HV13" t="s">
        <v>1133</v>
      </c>
      <c r="HW13" t="s">
        <v>1790</v>
      </c>
      <c r="HX13">
        <v>1927</v>
      </c>
      <c r="IL13" t="s">
        <v>1204</v>
      </c>
      <c r="IM13" t="s">
        <v>1792</v>
      </c>
      <c r="IN13">
        <v>598</v>
      </c>
      <c r="IP13" t="s">
        <v>1204</v>
      </c>
      <c r="IQ13" t="s">
        <v>1792</v>
      </c>
      <c r="IR13">
        <v>598</v>
      </c>
      <c r="IT13" t="s">
        <v>1204</v>
      </c>
      <c r="IU13" t="s">
        <v>1792</v>
      </c>
      <c r="IV13">
        <v>598</v>
      </c>
      <c r="IX13" t="s">
        <v>1204</v>
      </c>
      <c r="IY13" t="s">
        <v>1792</v>
      </c>
      <c r="IZ13">
        <v>598</v>
      </c>
      <c r="JB13" t="s">
        <v>1204</v>
      </c>
      <c r="JC13" t="s">
        <v>1792</v>
      </c>
      <c r="JD13">
        <v>598</v>
      </c>
      <c r="JF13" t="s">
        <v>1194</v>
      </c>
      <c r="JG13" t="s">
        <v>1787</v>
      </c>
      <c r="JH13">
        <v>433</v>
      </c>
      <c r="JJ13" t="s">
        <v>1204</v>
      </c>
      <c r="JK13" t="s">
        <v>1792</v>
      </c>
      <c r="JL13">
        <v>598</v>
      </c>
      <c r="JN13" t="s">
        <v>1194</v>
      </c>
      <c r="JO13" t="s">
        <v>1787</v>
      </c>
      <c r="JP13">
        <v>433</v>
      </c>
      <c r="JR13" t="s">
        <v>1082</v>
      </c>
      <c r="JS13" t="s">
        <v>1822</v>
      </c>
      <c r="JT13">
        <v>47</v>
      </c>
      <c r="JV13" t="s">
        <v>1216</v>
      </c>
      <c r="JW13" t="s">
        <v>1217</v>
      </c>
      <c r="JX13">
        <v>62</v>
      </c>
      <c r="JZ13" t="s">
        <v>1216</v>
      </c>
      <c r="KA13" t="s">
        <v>1217</v>
      </c>
      <c r="KB13">
        <v>62</v>
      </c>
      <c r="KD13" t="s">
        <v>1241</v>
      </c>
      <c r="KE13" t="s">
        <v>1000</v>
      </c>
      <c r="KF13">
        <v>237</v>
      </c>
      <c r="KH13" t="s">
        <v>1241</v>
      </c>
      <c r="KI13" t="s">
        <v>1000</v>
      </c>
      <c r="KJ13">
        <v>237</v>
      </c>
      <c r="KL13" t="s">
        <v>1202</v>
      </c>
      <c r="KM13" t="s">
        <v>1203</v>
      </c>
      <c r="KN13">
        <v>0</v>
      </c>
      <c r="KP13" t="s">
        <v>1196</v>
      </c>
      <c r="KQ13" t="s">
        <v>1881</v>
      </c>
      <c r="KR13">
        <v>0</v>
      </c>
      <c r="KT13" t="s">
        <v>1231</v>
      </c>
      <c r="KU13" t="s">
        <v>1878</v>
      </c>
      <c r="KV13">
        <v>88</v>
      </c>
      <c r="KX13" t="s">
        <v>1154</v>
      </c>
      <c r="KY13" t="s">
        <v>1886</v>
      </c>
      <c r="KZ13">
        <v>974</v>
      </c>
      <c r="LB13" t="s">
        <v>1212</v>
      </c>
      <c r="LC13" t="s">
        <v>1793</v>
      </c>
      <c r="LD13">
        <v>907</v>
      </c>
      <c r="LJ13" t="s">
        <v>1166</v>
      </c>
      <c r="LK13" t="s">
        <v>1907</v>
      </c>
      <c r="LL13">
        <v>665</v>
      </c>
      <c r="LN13" t="s">
        <v>1238</v>
      </c>
      <c r="LO13" t="s">
        <v>1916</v>
      </c>
      <c r="LP13">
        <v>824</v>
      </c>
      <c r="LR13" t="s">
        <v>902</v>
      </c>
      <c r="LS13" t="s">
        <v>1895</v>
      </c>
      <c r="LT13">
        <v>1746</v>
      </c>
      <c r="MH13" t="s">
        <v>977</v>
      </c>
      <c r="MI13" t="s">
        <v>1792</v>
      </c>
      <c r="MJ13">
        <v>598</v>
      </c>
      <c r="ML13" t="s">
        <v>977</v>
      </c>
      <c r="MM13" t="s">
        <v>1792</v>
      </c>
      <c r="MN13">
        <v>598</v>
      </c>
      <c r="MP13" t="s">
        <v>862</v>
      </c>
      <c r="MQ13" t="s">
        <v>867</v>
      </c>
      <c r="MR13">
        <v>47</v>
      </c>
      <c r="MX13" t="s">
        <v>1395</v>
      </c>
      <c r="MY13" t="str">
        <f t="shared" si="0"/>
        <v>Sterilization Cabinet</v>
      </c>
      <c r="MZ13">
        <v>2663</v>
      </c>
      <c r="NA13" t="str">
        <f t="shared" si="1"/>
        <v>26</v>
      </c>
      <c r="NB13" t="str">
        <f t="shared" si="2"/>
        <v>84</v>
      </c>
      <c r="NC13" t="str">
        <f t="shared" si="3"/>
        <v>26</v>
      </c>
      <c r="NE13" t="s">
        <v>1978</v>
      </c>
      <c r="NF13" t="s">
        <v>1982</v>
      </c>
      <c r="NH13" t="s">
        <v>748</v>
      </c>
      <c r="NI13" t="s">
        <v>1855</v>
      </c>
      <c r="NJ13">
        <v>109</v>
      </c>
      <c r="NL13" t="s">
        <v>748</v>
      </c>
      <c r="NM13" t="s">
        <v>1855</v>
      </c>
      <c r="NN13">
        <v>109</v>
      </c>
      <c r="NP13" t="s">
        <v>112</v>
      </c>
      <c r="NQ13" t="s">
        <v>1853</v>
      </c>
      <c r="NR13">
        <v>3595</v>
      </c>
      <c r="NT13" t="s">
        <v>748</v>
      </c>
      <c r="NU13" t="s">
        <v>1855</v>
      </c>
      <c r="NV13">
        <v>109</v>
      </c>
      <c r="NX13" t="s">
        <v>943</v>
      </c>
      <c r="NY13" t="s">
        <v>944</v>
      </c>
      <c r="NZ13">
        <v>454</v>
      </c>
      <c r="OB13" t="s">
        <v>955</v>
      </c>
      <c r="OC13" t="s">
        <v>1871</v>
      </c>
      <c r="OD13">
        <v>371</v>
      </c>
      <c r="ON13" t="s">
        <v>1007</v>
      </c>
      <c r="OO13" t="s">
        <v>2043</v>
      </c>
      <c r="OP13">
        <v>608</v>
      </c>
      <c r="OR13" t="s">
        <v>1007</v>
      </c>
      <c r="OS13" t="s">
        <v>2043</v>
      </c>
      <c r="OT13">
        <v>608</v>
      </c>
      <c r="OV13" t="s">
        <v>981</v>
      </c>
      <c r="OW13" t="s">
        <v>1791</v>
      </c>
      <c r="OX13">
        <v>433</v>
      </c>
      <c r="PD13" t="s">
        <v>929</v>
      </c>
      <c r="PE13" t="s">
        <v>2065</v>
      </c>
      <c r="PF13">
        <v>361</v>
      </c>
      <c r="QF13" t="s">
        <v>114</v>
      </c>
      <c r="QG13" t="s">
        <v>2290</v>
      </c>
      <c r="QH13">
        <v>2488</v>
      </c>
      <c r="QJ13" t="s">
        <v>114</v>
      </c>
      <c r="QK13" t="s">
        <v>2290</v>
      </c>
      <c r="QL13">
        <v>2488</v>
      </c>
      <c r="QV13" t="s">
        <v>566</v>
      </c>
      <c r="QW13" t="s">
        <v>2307</v>
      </c>
      <c r="QX13">
        <v>222</v>
      </c>
      <c r="RD13" t="s">
        <v>662</v>
      </c>
      <c r="RE13" t="s">
        <v>663</v>
      </c>
      <c r="RF13">
        <v>366</v>
      </c>
      <c r="RH13" t="s">
        <v>662</v>
      </c>
      <c r="RI13" t="s">
        <v>663</v>
      </c>
      <c r="RJ13">
        <v>366</v>
      </c>
      <c r="RL13" t="s">
        <v>662</v>
      </c>
      <c r="RM13" t="s">
        <v>663</v>
      </c>
      <c r="RN13">
        <v>366</v>
      </c>
      <c r="RP13" t="s">
        <v>662</v>
      </c>
      <c r="RQ13" t="s">
        <v>663</v>
      </c>
      <c r="RR13">
        <v>366</v>
      </c>
      <c r="RT13" t="s">
        <v>662</v>
      </c>
      <c r="RU13" t="s">
        <v>663</v>
      </c>
      <c r="RV13">
        <v>366</v>
      </c>
      <c r="RX13" t="s">
        <v>662</v>
      </c>
      <c r="RY13" t="s">
        <v>663</v>
      </c>
      <c r="RZ13">
        <v>366</v>
      </c>
      <c r="SB13" t="s">
        <v>662</v>
      </c>
      <c r="SC13" t="s">
        <v>663</v>
      </c>
      <c r="SD13">
        <v>366</v>
      </c>
      <c r="SF13" t="s">
        <v>662</v>
      </c>
      <c r="SG13" t="s">
        <v>663</v>
      </c>
      <c r="SH13">
        <v>366</v>
      </c>
      <c r="SJ13" t="s">
        <v>662</v>
      </c>
      <c r="SK13" t="s">
        <v>663</v>
      </c>
      <c r="SL13">
        <v>366</v>
      </c>
      <c r="SN13" t="s">
        <v>662</v>
      </c>
      <c r="SO13" t="s">
        <v>663</v>
      </c>
      <c r="SP13">
        <v>366</v>
      </c>
      <c r="SR13" t="s">
        <v>662</v>
      </c>
      <c r="SS13" t="s">
        <v>663</v>
      </c>
      <c r="ST13">
        <v>366</v>
      </c>
      <c r="SV13" t="s">
        <v>662</v>
      </c>
      <c r="SW13" t="s">
        <v>663</v>
      </c>
      <c r="SX13">
        <v>366</v>
      </c>
      <c r="SZ13" t="s">
        <v>662</v>
      </c>
      <c r="TA13" t="s">
        <v>663</v>
      </c>
      <c r="TB13">
        <v>366</v>
      </c>
      <c r="TD13" t="s">
        <v>662</v>
      </c>
      <c r="TE13" t="s">
        <v>663</v>
      </c>
      <c r="TF13">
        <v>366</v>
      </c>
      <c r="TH13" t="s">
        <v>662</v>
      </c>
      <c r="TI13" t="s">
        <v>663</v>
      </c>
      <c r="TJ13">
        <v>366</v>
      </c>
      <c r="TL13" t="s">
        <v>662</v>
      </c>
      <c r="TM13" t="s">
        <v>663</v>
      </c>
      <c r="TN13">
        <v>366</v>
      </c>
      <c r="TP13" t="s">
        <v>473</v>
      </c>
      <c r="TQ13" t="s">
        <v>2355</v>
      </c>
      <c r="TR13">
        <v>1005</v>
      </c>
      <c r="TT13" t="s">
        <v>473</v>
      </c>
      <c r="TU13" t="s">
        <v>2355</v>
      </c>
      <c r="TV13">
        <v>1005</v>
      </c>
      <c r="TX13" t="s">
        <v>473</v>
      </c>
      <c r="TY13" t="s">
        <v>2355</v>
      </c>
      <c r="TZ13">
        <v>1005</v>
      </c>
      <c r="UB13" t="s">
        <v>473</v>
      </c>
      <c r="UC13" t="s">
        <v>2355</v>
      </c>
      <c r="UD13">
        <v>1005</v>
      </c>
      <c r="UF13" t="s">
        <v>210</v>
      </c>
      <c r="UG13" t="s">
        <v>2358</v>
      </c>
      <c r="UH13">
        <v>4249</v>
      </c>
      <c r="VT13" t="s">
        <v>479</v>
      </c>
      <c r="VU13" t="s">
        <v>2387</v>
      </c>
      <c r="VV13">
        <v>67</v>
      </c>
    </row>
    <row r="14" spans="1:734">
      <c r="A14" s="172" t="s">
        <v>1627</v>
      </c>
      <c r="B14" t="s">
        <v>1628</v>
      </c>
      <c r="C14">
        <v>0</v>
      </c>
      <c r="G14" s="47" t="s">
        <v>351</v>
      </c>
      <c r="H14" s="164"/>
      <c r="K14" s="159" t="s">
        <v>204</v>
      </c>
      <c r="L14" s="164"/>
      <c r="O14" s="154" t="s">
        <v>94</v>
      </c>
      <c r="P14" s="164"/>
      <c r="Q14" s="153" t="s">
        <v>279</v>
      </c>
      <c r="S14" s="11" t="s">
        <v>427</v>
      </c>
      <c r="HR14" t="s">
        <v>1208</v>
      </c>
      <c r="HS14" t="s">
        <v>1791</v>
      </c>
      <c r="HT14">
        <v>433</v>
      </c>
      <c r="HV14" t="s">
        <v>1208</v>
      </c>
      <c r="HW14" t="s">
        <v>1791</v>
      </c>
      <c r="HX14">
        <v>433</v>
      </c>
      <c r="IL14" t="s">
        <v>1212</v>
      </c>
      <c r="IM14" t="s">
        <v>1793</v>
      </c>
      <c r="IN14">
        <v>907</v>
      </c>
      <c r="IP14" t="s">
        <v>1212</v>
      </c>
      <c r="IQ14" t="s">
        <v>1793</v>
      </c>
      <c r="IR14">
        <v>907</v>
      </c>
      <c r="IT14" t="s">
        <v>1212</v>
      </c>
      <c r="IU14" t="s">
        <v>1793</v>
      </c>
      <c r="IV14">
        <v>907</v>
      </c>
      <c r="IX14" t="s">
        <v>1212</v>
      </c>
      <c r="IY14" t="s">
        <v>1793</v>
      </c>
      <c r="IZ14">
        <v>907</v>
      </c>
      <c r="JB14" t="s">
        <v>1212</v>
      </c>
      <c r="JC14" t="s">
        <v>1793</v>
      </c>
      <c r="JD14">
        <v>907</v>
      </c>
      <c r="JF14" t="s">
        <v>1161</v>
      </c>
      <c r="JG14" t="s">
        <v>1788</v>
      </c>
      <c r="JH14">
        <v>-412</v>
      </c>
      <c r="JJ14" t="s">
        <v>1212</v>
      </c>
      <c r="JK14" t="s">
        <v>1793</v>
      </c>
      <c r="JL14">
        <v>907</v>
      </c>
      <c r="JN14" t="s">
        <v>1161</v>
      </c>
      <c r="JO14" t="s">
        <v>1788</v>
      </c>
      <c r="JP14">
        <v>-412</v>
      </c>
      <c r="JR14" t="s">
        <v>1080</v>
      </c>
      <c r="JS14" t="s">
        <v>1823</v>
      </c>
      <c r="JT14">
        <v>47</v>
      </c>
      <c r="JV14" t="s">
        <v>1245</v>
      </c>
      <c r="JW14" t="s">
        <v>1850</v>
      </c>
      <c r="JX14">
        <v>88</v>
      </c>
      <c r="JZ14" t="s">
        <v>1245</v>
      </c>
      <c r="KA14" t="s">
        <v>1850</v>
      </c>
      <c r="KB14">
        <v>88</v>
      </c>
      <c r="KD14" t="s">
        <v>1240</v>
      </c>
      <c r="KE14" t="s">
        <v>1861</v>
      </c>
      <c r="KF14">
        <v>284</v>
      </c>
      <c r="KH14" t="s">
        <v>1240</v>
      </c>
      <c r="KI14" t="s">
        <v>1861</v>
      </c>
      <c r="KJ14">
        <v>284</v>
      </c>
      <c r="KL14" t="s">
        <v>1172</v>
      </c>
      <c r="KM14" t="s">
        <v>1882</v>
      </c>
      <c r="KN14">
        <v>1370</v>
      </c>
      <c r="KP14" t="s">
        <v>1174</v>
      </c>
      <c r="KQ14" t="s">
        <v>1884</v>
      </c>
      <c r="KR14">
        <v>1190</v>
      </c>
      <c r="KT14" t="s">
        <v>1174</v>
      </c>
      <c r="KU14" t="s">
        <v>1887</v>
      </c>
      <c r="KV14">
        <v>1190</v>
      </c>
      <c r="LJ14" t="s">
        <v>1168</v>
      </c>
      <c r="LK14" t="s">
        <v>1806</v>
      </c>
      <c r="LL14">
        <v>361</v>
      </c>
      <c r="LN14" t="s">
        <v>1068</v>
      </c>
      <c r="LO14" t="s">
        <v>1917</v>
      </c>
      <c r="LP14">
        <v>83</v>
      </c>
      <c r="LR14" t="s">
        <v>977</v>
      </c>
      <c r="LS14" t="s">
        <v>1792</v>
      </c>
      <c r="LT14">
        <v>598</v>
      </c>
      <c r="MH14" t="s">
        <v>981</v>
      </c>
      <c r="MI14" t="s">
        <v>1791</v>
      </c>
      <c r="MJ14">
        <v>433</v>
      </c>
      <c r="ML14" t="s">
        <v>981</v>
      </c>
      <c r="MM14" t="s">
        <v>1791</v>
      </c>
      <c r="MN14">
        <v>433</v>
      </c>
      <c r="MP14" t="s">
        <v>864</v>
      </c>
      <c r="MQ14" t="s">
        <v>1938</v>
      </c>
      <c r="MR14">
        <v>47</v>
      </c>
      <c r="MX14" t="s">
        <v>1417</v>
      </c>
      <c r="MY14" t="str">
        <f t="shared" si="0"/>
        <v>Tall Tower Storage Cabinet</v>
      </c>
      <c r="MZ14">
        <v>4435</v>
      </c>
      <c r="NA14" t="str">
        <f t="shared" si="1"/>
        <v>16</v>
      </c>
      <c r="NB14" t="str">
        <f t="shared" si="2"/>
        <v>84</v>
      </c>
      <c r="NC14" t="str">
        <f t="shared" si="3"/>
        <v>24</v>
      </c>
      <c r="NE14" t="s">
        <v>1983</v>
      </c>
      <c r="NF14" t="s">
        <v>1984</v>
      </c>
      <c r="NP14" t="s">
        <v>114</v>
      </c>
      <c r="NQ14" t="s">
        <v>1854</v>
      </c>
      <c r="NR14">
        <v>2488</v>
      </c>
      <c r="NT14" t="s">
        <v>953</v>
      </c>
      <c r="NU14" t="s">
        <v>954</v>
      </c>
      <c r="NV14">
        <v>191</v>
      </c>
      <c r="NX14" t="s">
        <v>945</v>
      </c>
      <c r="NY14" t="s">
        <v>2044</v>
      </c>
      <c r="NZ14">
        <v>243</v>
      </c>
      <c r="OB14" t="s">
        <v>956</v>
      </c>
      <c r="OC14" t="s">
        <v>2047</v>
      </c>
      <c r="OD14">
        <v>557</v>
      </c>
      <c r="ON14" t="s">
        <v>112</v>
      </c>
      <c r="OO14" t="s">
        <v>1853</v>
      </c>
      <c r="OP14">
        <v>3595</v>
      </c>
      <c r="OR14" t="s">
        <v>112</v>
      </c>
      <c r="OS14" t="s">
        <v>1853</v>
      </c>
      <c r="OT14">
        <v>3595</v>
      </c>
      <c r="QF14" t="s">
        <v>748</v>
      </c>
      <c r="QG14" t="s">
        <v>2292</v>
      </c>
      <c r="QH14">
        <v>109</v>
      </c>
      <c r="QJ14" t="s">
        <v>748</v>
      </c>
      <c r="QK14" t="s">
        <v>2292</v>
      </c>
      <c r="QL14">
        <v>109</v>
      </c>
      <c r="RD14" t="s">
        <v>682</v>
      </c>
      <c r="RE14" t="s">
        <v>2338</v>
      </c>
      <c r="RF14">
        <v>6000</v>
      </c>
      <c r="RH14" t="s">
        <v>682</v>
      </c>
      <c r="RI14" t="s">
        <v>2338</v>
      </c>
      <c r="RJ14">
        <v>6000</v>
      </c>
      <c r="RL14" t="s">
        <v>682</v>
      </c>
      <c r="RM14" t="s">
        <v>2338</v>
      </c>
      <c r="RN14">
        <v>6000</v>
      </c>
      <c r="RP14" t="s">
        <v>682</v>
      </c>
      <c r="RQ14" t="s">
        <v>2338</v>
      </c>
      <c r="RR14">
        <v>6000</v>
      </c>
      <c r="RT14" t="s">
        <v>682</v>
      </c>
      <c r="RU14" t="s">
        <v>2338</v>
      </c>
      <c r="RV14">
        <v>6000</v>
      </c>
      <c r="RX14" t="s">
        <v>682</v>
      </c>
      <c r="RY14" t="s">
        <v>2338</v>
      </c>
      <c r="RZ14">
        <v>6000</v>
      </c>
      <c r="SB14" t="s">
        <v>682</v>
      </c>
      <c r="SC14" t="s">
        <v>2338</v>
      </c>
      <c r="SD14">
        <v>6000</v>
      </c>
      <c r="SF14" t="s">
        <v>682</v>
      </c>
      <c r="SG14" t="s">
        <v>2338</v>
      </c>
      <c r="SH14">
        <v>6000</v>
      </c>
      <c r="SJ14" t="s">
        <v>682</v>
      </c>
      <c r="SK14" t="s">
        <v>2338</v>
      </c>
      <c r="SL14">
        <v>6000</v>
      </c>
      <c r="SN14" t="s">
        <v>682</v>
      </c>
      <c r="SO14" t="s">
        <v>2338</v>
      </c>
      <c r="SP14">
        <v>6000</v>
      </c>
      <c r="SR14" t="s">
        <v>682</v>
      </c>
      <c r="SS14" t="s">
        <v>2338</v>
      </c>
      <c r="ST14">
        <v>6000</v>
      </c>
      <c r="SV14" t="s">
        <v>682</v>
      </c>
      <c r="SW14" t="s">
        <v>2338</v>
      </c>
      <c r="SX14">
        <v>6000</v>
      </c>
      <c r="SZ14" t="s">
        <v>682</v>
      </c>
      <c r="TA14" t="s">
        <v>2338</v>
      </c>
      <c r="TB14">
        <v>6000</v>
      </c>
      <c r="TD14" t="s">
        <v>682</v>
      </c>
      <c r="TE14" t="s">
        <v>2338</v>
      </c>
      <c r="TF14">
        <v>6000</v>
      </c>
      <c r="TH14" t="s">
        <v>682</v>
      </c>
      <c r="TI14" t="s">
        <v>2338</v>
      </c>
      <c r="TJ14">
        <v>6000</v>
      </c>
      <c r="TL14" t="s">
        <v>682</v>
      </c>
      <c r="TM14" t="s">
        <v>2338</v>
      </c>
      <c r="TN14">
        <v>6000</v>
      </c>
      <c r="TP14" t="s">
        <v>191</v>
      </c>
      <c r="TQ14" t="s">
        <v>2356</v>
      </c>
      <c r="TR14">
        <v>2447</v>
      </c>
      <c r="TT14" t="s">
        <v>191</v>
      </c>
      <c r="TU14" t="s">
        <v>2356</v>
      </c>
      <c r="TV14">
        <v>2447</v>
      </c>
      <c r="TX14" t="s">
        <v>191</v>
      </c>
      <c r="TY14" t="s">
        <v>2356</v>
      </c>
      <c r="TZ14">
        <v>2447</v>
      </c>
      <c r="UB14" t="s">
        <v>191</v>
      </c>
      <c r="UC14" t="s">
        <v>2356</v>
      </c>
      <c r="UD14">
        <v>2447</v>
      </c>
      <c r="UF14" t="s">
        <v>596</v>
      </c>
      <c r="UG14" t="s">
        <v>2399</v>
      </c>
      <c r="UH14">
        <v>665</v>
      </c>
      <c r="VT14" t="s">
        <v>604</v>
      </c>
      <c r="VU14" t="s">
        <v>2388</v>
      </c>
      <c r="VV14">
        <v>160</v>
      </c>
      <c r="YJ14" t="s">
        <v>570</v>
      </c>
      <c r="YK14" t="s">
        <v>2411</v>
      </c>
      <c r="YL14">
        <v>48</v>
      </c>
    </row>
    <row r="15" spans="1:734">
      <c r="A15" t="s">
        <v>588</v>
      </c>
      <c r="B15" t="s">
        <v>1633</v>
      </c>
      <c r="C15">
        <v>2266</v>
      </c>
      <c r="G15" s="47" t="s">
        <v>352</v>
      </c>
      <c r="H15" s="164"/>
      <c r="K15" s="159" t="s">
        <v>206</v>
      </c>
      <c r="L15" s="164"/>
      <c r="O15" s="154" t="s">
        <v>118</v>
      </c>
      <c r="P15" s="164"/>
      <c r="Q15" s="150" t="s">
        <v>237</v>
      </c>
      <c r="S15" s="11" t="s">
        <v>745</v>
      </c>
      <c r="HR15" t="s">
        <v>1204</v>
      </c>
      <c r="HS15" t="s">
        <v>1792</v>
      </c>
      <c r="HT15">
        <v>598</v>
      </c>
      <c r="HV15" t="s">
        <v>1204</v>
      </c>
      <c r="HW15" t="s">
        <v>1792</v>
      </c>
      <c r="HX15">
        <v>598</v>
      </c>
      <c r="JR15" t="s">
        <v>1194</v>
      </c>
      <c r="JS15" t="s">
        <v>1787</v>
      </c>
      <c r="JT15">
        <v>433</v>
      </c>
      <c r="JV15" t="s">
        <v>1107</v>
      </c>
      <c r="JW15" t="s">
        <v>1851</v>
      </c>
      <c r="JX15">
        <v>237</v>
      </c>
      <c r="JZ15" t="s">
        <v>1107</v>
      </c>
      <c r="KA15" t="s">
        <v>1851</v>
      </c>
      <c r="KB15">
        <v>237</v>
      </c>
      <c r="KD15" t="s">
        <v>1243</v>
      </c>
      <c r="KE15" t="s">
        <v>1862</v>
      </c>
      <c r="KF15">
        <v>212</v>
      </c>
      <c r="KH15" t="s">
        <v>1243</v>
      </c>
      <c r="KI15" t="s">
        <v>1862</v>
      </c>
      <c r="KJ15">
        <v>212</v>
      </c>
      <c r="KL15" t="s">
        <v>1156</v>
      </c>
      <c r="KM15" t="s">
        <v>1883</v>
      </c>
      <c r="KN15">
        <v>2745</v>
      </c>
      <c r="KP15" t="s">
        <v>1158</v>
      </c>
      <c r="KQ15" t="s">
        <v>1888</v>
      </c>
      <c r="KR15">
        <v>1968</v>
      </c>
      <c r="KT15" t="s">
        <v>1158</v>
      </c>
      <c r="KU15" t="s">
        <v>1888</v>
      </c>
      <c r="KV15">
        <v>1968</v>
      </c>
      <c r="LN15" t="s">
        <v>448</v>
      </c>
      <c r="LO15" t="s">
        <v>1918</v>
      </c>
      <c r="LP15">
        <v>114</v>
      </c>
      <c r="LR15" t="s">
        <v>981</v>
      </c>
      <c r="LS15" t="s">
        <v>1791</v>
      </c>
      <c r="LT15">
        <v>433</v>
      </c>
      <c r="MP15" t="s">
        <v>929</v>
      </c>
      <c r="MQ15" t="s">
        <v>1939</v>
      </c>
      <c r="MR15">
        <v>361</v>
      </c>
      <c r="MX15" t="s">
        <v>1481</v>
      </c>
      <c r="MY15" t="str">
        <f t="shared" si="0"/>
        <v>Wall Tub &amp; Tray Storage Unit</v>
      </c>
      <c r="MZ15">
        <v>1030</v>
      </c>
      <c r="NA15" t="str">
        <f t="shared" si="1"/>
        <v>29</v>
      </c>
      <c r="NB15" t="str">
        <f t="shared" si="2"/>
        <v>29</v>
      </c>
      <c r="NC15" t="str">
        <f t="shared" si="3"/>
        <v>24</v>
      </c>
      <c r="NE15" t="s">
        <v>1985</v>
      </c>
      <c r="NF15" t="s">
        <v>1986</v>
      </c>
      <c r="NP15" t="s">
        <v>748</v>
      </c>
      <c r="NQ15" t="s">
        <v>1855</v>
      </c>
      <c r="NR15">
        <v>109</v>
      </c>
      <c r="NT15" t="s">
        <v>955</v>
      </c>
      <c r="NU15" t="s">
        <v>1871</v>
      </c>
      <c r="NV15">
        <v>371</v>
      </c>
      <c r="NX15" t="s">
        <v>947</v>
      </c>
      <c r="NY15" t="s">
        <v>1871</v>
      </c>
      <c r="NZ15">
        <v>407</v>
      </c>
      <c r="OB15" t="s">
        <v>957</v>
      </c>
      <c r="OC15" t="s">
        <v>1187</v>
      </c>
      <c r="OD15">
        <v>505</v>
      </c>
      <c r="ON15" t="s">
        <v>114</v>
      </c>
      <c r="OO15" t="s">
        <v>1854</v>
      </c>
      <c r="OP15">
        <v>2488</v>
      </c>
      <c r="OR15" t="s">
        <v>114</v>
      </c>
      <c r="OS15" t="s">
        <v>1854</v>
      </c>
      <c r="OT15">
        <v>2488</v>
      </c>
      <c r="QF15" t="s">
        <v>448</v>
      </c>
      <c r="QG15" t="s">
        <v>2293</v>
      </c>
      <c r="QH15">
        <v>114</v>
      </c>
      <c r="QJ15" t="s">
        <v>448</v>
      </c>
      <c r="QK15" t="s">
        <v>2293</v>
      </c>
      <c r="QL15">
        <v>114</v>
      </c>
      <c r="RD15" t="s">
        <v>680</v>
      </c>
      <c r="RE15" t="s">
        <v>2339</v>
      </c>
      <c r="RF15">
        <v>279</v>
      </c>
      <c r="RH15" t="s">
        <v>680</v>
      </c>
      <c r="RI15" t="s">
        <v>2339</v>
      </c>
      <c r="RJ15">
        <v>279</v>
      </c>
      <c r="RL15" t="s">
        <v>680</v>
      </c>
      <c r="RM15" t="s">
        <v>2339</v>
      </c>
      <c r="RN15">
        <v>279</v>
      </c>
      <c r="RP15" t="s">
        <v>680</v>
      </c>
      <c r="RQ15" t="s">
        <v>2339</v>
      </c>
      <c r="RR15">
        <v>279</v>
      </c>
      <c r="RT15" t="s">
        <v>680</v>
      </c>
      <c r="RU15" t="s">
        <v>2339</v>
      </c>
      <c r="RV15">
        <v>279</v>
      </c>
      <c r="RX15" t="s">
        <v>680</v>
      </c>
      <c r="RY15" t="s">
        <v>2339</v>
      </c>
      <c r="RZ15">
        <v>279</v>
      </c>
      <c r="SB15" t="s">
        <v>680</v>
      </c>
      <c r="SC15" t="s">
        <v>2339</v>
      </c>
      <c r="SD15">
        <v>279</v>
      </c>
      <c r="SF15" t="s">
        <v>680</v>
      </c>
      <c r="SG15" t="s">
        <v>2339</v>
      </c>
      <c r="SH15">
        <v>279</v>
      </c>
      <c r="SJ15" t="s">
        <v>690</v>
      </c>
      <c r="SK15" t="s">
        <v>2343</v>
      </c>
      <c r="SL15">
        <v>98</v>
      </c>
      <c r="SN15" t="s">
        <v>690</v>
      </c>
      <c r="SO15" t="s">
        <v>2343</v>
      </c>
      <c r="SP15">
        <v>98</v>
      </c>
      <c r="SR15" t="s">
        <v>690</v>
      </c>
      <c r="SS15" t="s">
        <v>2343</v>
      </c>
      <c r="ST15">
        <v>98</v>
      </c>
      <c r="SV15" t="s">
        <v>690</v>
      </c>
      <c r="SW15" t="s">
        <v>2343</v>
      </c>
      <c r="SX15">
        <v>98</v>
      </c>
      <c r="SZ15" t="s">
        <v>690</v>
      </c>
      <c r="TA15" t="s">
        <v>2343</v>
      </c>
      <c r="TB15">
        <v>98</v>
      </c>
      <c r="TD15" t="s">
        <v>690</v>
      </c>
      <c r="TE15" t="s">
        <v>2343</v>
      </c>
      <c r="TF15">
        <v>98</v>
      </c>
      <c r="TH15" t="s">
        <v>690</v>
      </c>
      <c r="TI15" t="s">
        <v>2343</v>
      </c>
      <c r="TJ15">
        <v>98</v>
      </c>
      <c r="TL15" t="s">
        <v>690</v>
      </c>
      <c r="TM15" t="s">
        <v>2343</v>
      </c>
      <c r="TN15">
        <v>98</v>
      </c>
      <c r="TP15" t="s">
        <v>502</v>
      </c>
      <c r="TQ15" t="s">
        <v>2357</v>
      </c>
      <c r="TR15">
        <v>52</v>
      </c>
      <c r="TT15" t="s">
        <v>506</v>
      </c>
      <c r="TU15" t="s">
        <v>2357</v>
      </c>
      <c r="TV15">
        <v>52</v>
      </c>
      <c r="TX15" t="s">
        <v>510</v>
      </c>
      <c r="TY15" t="s">
        <v>2357</v>
      </c>
      <c r="TZ15">
        <v>52</v>
      </c>
      <c r="UB15" t="s">
        <v>514</v>
      </c>
      <c r="UC15" t="s">
        <v>2357</v>
      </c>
      <c r="UD15">
        <v>52</v>
      </c>
    </row>
    <row r="16" spans="1:734">
      <c r="A16" t="s">
        <v>592</v>
      </c>
      <c r="B16" t="s">
        <v>1633</v>
      </c>
      <c r="C16">
        <v>1164</v>
      </c>
      <c r="G16" s="47" t="s">
        <v>355</v>
      </c>
      <c r="H16" s="164"/>
      <c r="K16" s="161" t="s">
        <v>189</v>
      </c>
      <c r="L16" s="164"/>
      <c r="O16" s="154" t="s">
        <v>96</v>
      </c>
      <c r="P16" s="164"/>
      <c r="Q16" s="150" t="s">
        <v>241</v>
      </c>
      <c r="S16" s="11" t="s">
        <v>9</v>
      </c>
      <c r="HR16" t="s">
        <v>1212</v>
      </c>
      <c r="HS16" t="s">
        <v>1793</v>
      </c>
      <c r="HT16">
        <v>907</v>
      </c>
      <c r="HV16" t="s">
        <v>1212</v>
      </c>
      <c r="HW16" t="s">
        <v>1793</v>
      </c>
      <c r="HX16">
        <v>907</v>
      </c>
      <c r="JR16" t="s">
        <v>1161</v>
      </c>
      <c r="JS16" t="s">
        <v>1824</v>
      </c>
      <c r="JT16">
        <v>-412</v>
      </c>
      <c r="JV16" t="s">
        <v>1250</v>
      </c>
      <c r="JW16" t="s">
        <v>1852</v>
      </c>
      <c r="JX16">
        <v>608</v>
      </c>
      <c r="JZ16" t="s">
        <v>1250</v>
      </c>
      <c r="KA16" t="s">
        <v>1852</v>
      </c>
      <c r="KB16">
        <v>608</v>
      </c>
      <c r="KD16" t="s">
        <v>1245</v>
      </c>
      <c r="KE16" t="s">
        <v>1850</v>
      </c>
      <c r="KF16">
        <v>88</v>
      </c>
      <c r="KH16" t="s">
        <v>1245</v>
      </c>
      <c r="KI16" t="s">
        <v>1850</v>
      </c>
      <c r="KJ16">
        <v>88</v>
      </c>
      <c r="KL16" t="s">
        <v>1210</v>
      </c>
      <c r="KM16" t="s">
        <v>1889</v>
      </c>
      <c r="KN16">
        <v>866</v>
      </c>
      <c r="KP16" t="s">
        <v>1208</v>
      </c>
      <c r="KQ16" t="s">
        <v>1791</v>
      </c>
      <c r="KR16">
        <v>433</v>
      </c>
      <c r="KT16" t="s">
        <v>1208</v>
      </c>
      <c r="KU16" t="s">
        <v>1791</v>
      </c>
      <c r="KV16">
        <v>433</v>
      </c>
      <c r="LN16" t="s">
        <v>1383</v>
      </c>
      <c r="LO16" t="s">
        <v>1384</v>
      </c>
      <c r="LP16">
        <v>330</v>
      </c>
      <c r="LR16" t="s">
        <v>110</v>
      </c>
      <c r="LS16" t="s">
        <v>1794</v>
      </c>
      <c r="LT16">
        <v>5336</v>
      </c>
      <c r="MP16" t="s">
        <v>975</v>
      </c>
      <c r="MQ16" t="s">
        <v>1940</v>
      </c>
      <c r="MR16">
        <v>490</v>
      </c>
      <c r="MX16" t="s">
        <v>1477</v>
      </c>
      <c r="MY16" t="str">
        <f t="shared" si="0"/>
        <v>Wall Dispenser Cabinet</v>
      </c>
      <c r="MZ16">
        <v>881</v>
      </c>
      <c r="NA16" t="str">
        <f t="shared" si="1"/>
        <v>4-</v>
      </c>
      <c r="NB16" t="str">
        <f t="shared" si="2"/>
        <v>24</v>
      </c>
      <c r="NC16" t="str">
        <f t="shared" si="3"/>
        <v>10</v>
      </c>
      <c r="NE16" t="s">
        <v>1987</v>
      </c>
      <c r="NF16" t="s">
        <v>1988</v>
      </c>
      <c r="NP16" t="s">
        <v>943</v>
      </c>
      <c r="NQ16" t="s">
        <v>944</v>
      </c>
      <c r="NR16">
        <v>454</v>
      </c>
      <c r="NT16" t="s">
        <v>956</v>
      </c>
      <c r="NU16" t="s">
        <v>2047</v>
      </c>
      <c r="NV16">
        <v>557</v>
      </c>
      <c r="NX16" t="s">
        <v>949</v>
      </c>
      <c r="NY16" t="s">
        <v>2045</v>
      </c>
      <c r="NZ16">
        <v>376</v>
      </c>
      <c r="OB16" t="s">
        <v>959</v>
      </c>
      <c r="OC16" t="s">
        <v>2048</v>
      </c>
      <c r="OD16">
        <v>608</v>
      </c>
      <c r="ON16" t="s">
        <v>748</v>
      </c>
      <c r="OO16" t="s">
        <v>1855</v>
      </c>
      <c r="OP16">
        <v>109</v>
      </c>
      <c r="OR16" t="s">
        <v>748</v>
      </c>
      <c r="OS16" t="s">
        <v>1855</v>
      </c>
      <c r="OT16">
        <v>109</v>
      </c>
      <c r="QF16" t="s">
        <v>745</v>
      </c>
      <c r="QG16" t="s">
        <v>2294</v>
      </c>
      <c r="QH16">
        <v>376</v>
      </c>
      <c r="QJ16" t="s">
        <v>745</v>
      </c>
      <c r="QK16" t="s">
        <v>2294</v>
      </c>
      <c r="QL16">
        <v>376</v>
      </c>
      <c r="RD16" t="s">
        <v>664</v>
      </c>
      <c r="RE16" t="s">
        <v>2340</v>
      </c>
      <c r="RF16">
        <v>124</v>
      </c>
      <c r="RH16" t="s">
        <v>664</v>
      </c>
      <c r="RI16" t="s">
        <v>2340</v>
      </c>
      <c r="RJ16">
        <v>124</v>
      </c>
      <c r="RL16" t="s">
        <v>664</v>
      </c>
      <c r="RM16" t="s">
        <v>2340</v>
      </c>
      <c r="RN16">
        <v>124</v>
      </c>
      <c r="RP16" t="s">
        <v>664</v>
      </c>
      <c r="RQ16" t="s">
        <v>2340</v>
      </c>
      <c r="RR16">
        <v>124</v>
      </c>
      <c r="RT16" t="s">
        <v>718</v>
      </c>
      <c r="RU16" t="s">
        <v>2344</v>
      </c>
      <c r="RV16">
        <v>62</v>
      </c>
      <c r="RX16" t="s">
        <v>720</v>
      </c>
      <c r="RY16" t="s">
        <v>2344</v>
      </c>
      <c r="RZ16">
        <v>62</v>
      </c>
      <c r="SB16" t="s">
        <v>722</v>
      </c>
      <c r="SC16" t="s">
        <v>2344</v>
      </c>
      <c r="SD16">
        <v>62</v>
      </c>
      <c r="SF16" t="s">
        <v>724</v>
      </c>
      <c r="SG16" t="s">
        <v>2344</v>
      </c>
      <c r="SH16">
        <v>62</v>
      </c>
      <c r="SJ16" t="s">
        <v>664</v>
      </c>
      <c r="SK16" t="s">
        <v>2340</v>
      </c>
      <c r="SL16">
        <v>124</v>
      </c>
      <c r="SN16" t="s">
        <v>664</v>
      </c>
      <c r="SO16" t="s">
        <v>2340</v>
      </c>
      <c r="SP16">
        <v>124</v>
      </c>
      <c r="SR16" t="s">
        <v>664</v>
      </c>
      <c r="SS16" t="s">
        <v>2340</v>
      </c>
      <c r="ST16">
        <v>124</v>
      </c>
      <c r="SV16" t="s">
        <v>664</v>
      </c>
      <c r="SW16" t="s">
        <v>2340</v>
      </c>
      <c r="SX16">
        <v>124</v>
      </c>
      <c r="SZ16" t="s">
        <v>694</v>
      </c>
      <c r="TA16" t="s">
        <v>2342</v>
      </c>
      <c r="TB16">
        <v>1535</v>
      </c>
      <c r="TD16" t="s">
        <v>694</v>
      </c>
      <c r="TE16" t="s">
        <v>2342</v>
      </c>
      <c r="TF16">
        <v>1535</v>
      </c>
      <c r="TH16" t="s">
        <v>694</v>
      </c>
      <c r="TI16" t="s">
        <v>2342</v>
      </c>
      <c r="TJ16">
        <v>1535</v>
      </c>
      <c r="TL16" t="s">
        <v>694</v>
      </c>
      <c r="TM16" t="s">
        <v>2342</v>
      </c>
      <c r="TN16">
        <v>1535</v>
      </c>
      <c r="TP16" t="s">
        <v>210</v>
      </c>
      <c r="TQ16" t="s">
        <v>2358</v>
      </c>
      <c r="TR16">
        <v>4249</v>
      </c>
      <c r="TT16" t="s">
        <v>210</v>
      </c>
      <c r="TU16" t="s">
        <v>2358</v>
      </c>
      <c r="TV16">
        <v>4249</v>
      </c>
      <c r="TX16" t="s">
        <v>210</v>
      </c>
      <c r="TY16" t="s">
        <v>2358</v>
      </c>
      <c r="TZ16">
        <v>4249</v>
      </c>
      <c r="UB16" t="s">
        <v>210</v>
      </c>
      <c r="UC16" t="s">
        <v>2358</v>
      </c>
      <c r="UD16">
        <v>4249</v>
      </c>
    </row>
    <row r="17" spans="1:550">
      <c r="A17" t="s">
        <v>586</v>
      </c>
      <c r="B17" t="s">
        <v>1639</v>
      </c>
      <c r="C17">
        <v>1092</v>
      </c>
      <c r="G17" s="47" t="s">
        <v>353</v>
      </c>
      <c r="H17" s="164"/>
      <c r="K17" s="161" t="s">
        <v>208</v>
      </c>
      <c r="L17" s="164"/>
      <c r="O17" s="154" t="s">
        <v>92</v>
      </c>
      <c r="P17" s="165"/>
      <c r="Q17" s="150" t="s">
        <v>235</v>
      </c>
      <c r="S17" s="11" t="s">
        <v>748</v>
      </c>
      <c r="HR17" t="s">
        <v>110</v>
      </c>
      <c r="HS17" t="s">
        <v>1794</v>
      </c>
      <c r="HT17">
        <v>5336</v>
      </c>
      <c r="HV17" t="s">
        <v>110</v>
      </c>
      <c r="HW17" t="s">
        <v>1794</v>
      </c>
      <c r="HX17">
        <v>5336</v>
      </c>
      <c r="JR17" t="s">
        <v>1116</v>
      </c>
      <c r="JS17" t="s">
        <v>1825</v>
      </c>
      <c r="JT17">
        <v>1030</v>
      </c>
      <c r="JV17" t="s">
        <v>112</v>
      </c>
      <c r="JW17" t="s">
        <v>1853</v>
      </c>
      <c r="JX17">
        <v>3595</v>
      </c>
      <c r="JZ17" t="s">
        <v>112</v>
      </c>
      <c r="KA17" t="s">
        <v>1853</v>
      </c>
      <c r="KB17">
        <v>3595</v>
      </c>
      <c r="KD17" t="s">
        <v>1248</v>
      </c>
      <c r="KE17" t="s">
        <v>1863</v>
      </c>
      <c r="KF17">
        <v>88</v>
      </c>
      <c r="KH17" t="s">
        <v>1248</v>
      </c>
      <c r="KI17" t="s">
        <v>1863</v>
      </c>
      <c r="KJ17">
        <v>88</v>
      </c>
      <c r="KL17" t="s">
        <v>1206</v>
      </c>
      <c r="KM17" t="s">
        <v>1890</v>
      </c>
      <c r="KN17">
        <v>1190</v>
      </c>
      <c r="KP17" t="s">
        <v>1204</v>
      </c>
      <c r="KQ17" t="s">
        <v>1792</v>
      </c>
      <c r="KR17">
        <v>598</v>
      </c>
      <c r="KT17" t="s">
        <v>1204</v>
      </c>
      <c r="KU17" t="s">
        <v>1792</v>
      </c>
      <c r="KV17">
        <v>598</v>
      </c>
      <c r="LN17" t="s">
        <v>1385</v>
      </c>
      <c r="LO17" t="s">
        <v>1386</v>
      </c>
      <c r="LP17">
        <v>361</v>
      </c>
      <c r="MP17" t="s">
        <v>969</v>
      </c>
      <c r="MQ17" t="s">
        <v>1941</v>
      </c>
      <c r="MR17">
        <v>675</v>
      </c>
      <c r="MX17" t="s">
        <v>1419</v>
      </c>
      <c r="MY17" t="str">
        <f t="shared" si="0"/>
        <v>Ultrasonic Base Cabinet</v>
      </c>
      <c r="MZ17">
        <v>721</v>
      </c>
      <c r="NA17" t="str">
        <f t="shared" si="1"/>
        <v>16</v>
      </c>
      <c r="NB17" t="str">
        <f t="shared" si="2"/>
        <v>24</v>
      </c>
      <c r="NC17" t="str">
        <f t="shared" si="3"/>
        <v>24</v>
      </c>
      <c r="NE17" t="s">
        <v>1989</v>
      </c>
      <c r="NF17" t="s">
        <v>1990</v>
      </c>
      <c r="NP17" t="s">
        <v>945</v>
      </c>
      <c r="NQ17" t="s">
        <v>2044</v>
      </c>
      <c r="NR17">
        <v>243</v>
      </c>
      <c r="NT17" t="s">
        <v>957</v>
      </c>
      <c r="NU17" t="s">
        <v>1187</v>
      </c>
      <c r="NV17">
        <v>505</v>
      </c>
      <c r="NX17" t="s">
        <v>951</v>
      </c>
      <c r="NY17" t="s">
        <v>2046</v>
      </c>
      <c r="NZ17">
        <v>608</v>
      </c>
      <c r="OB17" t="s">
        <v>961</v>
      </c>
      <c r="OC17" t="s">
        <v>962</v>
      </c>
      <c r="OD17">
        <v>696</v>
      </c>
      <c r="QF17" t="s">
        <v>9</v>
      </c>
      <c r="QG17" t="s">
        <v>2295</v>
      </c>
      <c r="QH17">
        <v>346</v>
      </c>
      <c r="QJ17" t="s">
        <v>9</v>
      </c>
      <c r="QK17" t="s">
        <v>2295</v>
      </c>
      <c r="QL17">
        <v>346</v>
      </c>
      <c r="RD17" t="s">
        <v>728</v>
      </c>
      <c r="RE17" t="s">
        <v>2344</v>
      </c>
      <c r="RF17">
        <v>62</v>
      </c>
      <c r="RH17" t="s">
        <v>730</v>
      </c>
      <c r="RI17" t="s">
        <v>2344</v>
      </c>
      <c r="RJ17">
        <v>62</v>
      </c>
      <c r="RL17" t="s">
        <v>732</v>
      </c>
      <c r="RM17" t="s">
        <v>2344</v>
      </c>
      <c r="RN17">
        <v>62</v>
      </c>
      <c r="RP17" t="s">
        <v>734</v>
      </c>
      <c r="RQ17" t="s">
        <v>2344</v>
      </c>
      <c r="RR17">
        <v>62</v>
      </c>
      <c r="SJ17" t="s">
        <v>696</v>
      </c>
      <c r="SK17" t="s">
        <v>2341</v>
      </c>
      <c r="SL17">
        <v>1803</v>
      </c>
      <c r="SN17" t="s">
        <v>696</v>
      </c>
      <c r="SO17" t="s">
        <v>2341</v>
      </c>
      <c r="SP17">
        <v>1803</v>
      </c>
      <c r="SR17" t="s">
        <v>696</v>
      </c>
      <c r="SS17" t="s">
        <v>2341</v>
      </c>
      <c r="ST17">
        <v>1803</v>
      </c>
      <c r="SV17" t="s">
        <v>696</v>
      </c>
      <c r="SW17" t="s">
        <v>2341</v>
      </c>
      <c r="SX17">
        <v>1803</v>
      </c>
      <c r="SZ17" t="s">
        <v>710</v>
      </c>
      <c r="TA17" t="s">
        <v>2344</v>
      </c>
      <c r="TB17">
        <v>62</v>
      </c>
      <c r="TD17" t="s">
        <v>712</v>
      </c>
      <c r="TE17" t="s">
        <v>2344</v>
      </c>
      <c r="TF17">
        <v>62</v>
      </c>
      <c r="TH17" t="s">
        <v>714</v>
      </c>
      <c r="TI17" t="s">
        <v>2344</v>
      </c>
      <c r="TJ17">
        <v>62</v>
      </c>
      <c r="TL17" t="s">
        <v>716</v>
      </c>
      <c r="TM17" t="s">
        <v>2344</v>
      </c>
      <c r="TN17">
        <v>62</v>
      </c>
      <c r="TP17" t="s">
        <v>504</v>
      </c>
      <c r="TQ17" t="s">
        <v>2359</v>
      </c>
      <c r="TR17">
        <v>62</v>
      </c>
      <c r="TT17" t="s">
        <v>508</v>
      </c>
      <c r="TU17" t="s">
        <v>2359</v>
      </c>
      <c r="TV17">
        <v>62</v>
      </c>
      <c r="TX17" t="s">
        <v>512</v>
      </c>
      <c r="TY17" t="s">
        <v>2359</v>
      </c>
      <c r="TZ17">
        <v>62</v>
      </c>
      <c r="UB17" t="s">
        <v>516</v>
      </c>
      <c r="UC17" t="s">
        <v>2359</v>
      </c>
      <c r="UD17">
        <v>62</v>
      </c>
    </row>
    <row r="18" spans="1:550">
      <c r="A18" t="s">
        <v>594</v>
      </c>
      <c r="B18" t="s">
        <v>595</v>
      </c>
      <c r="C18">
        <v>938</v>
      </c>
      <c r="G18" s="47" t="s">
        <v>357</v>
      </c>
      <c r="H18" s="164"/>
      <c r="K18" s="161" t="s">
        <v>191</v>
      </c>
      <c r="L18" s="164"/>
      <c r="O18" s="154" t="s">
        <v>104</v>
      </c>
      <c r="P18" s="165"/>
      <c r="Q18" s="150" t="s">
        <v>239</v>
      </c>
      <c r="S18" s="11" t="s">
        <v>750</v>
      </c>
      <c r="JR18" t="s">
        <v>1118</v>
      </c>
      <c r="JS18" t="s">
        <v>1826</v>
      </c>
      <c r="JT18">
        <v>515</v>
      </c>
      <c r="JV18" t="s">
        <v>114</v>
      </c>
      <c r="JW18" t="s">
        <v>1854</v>
      </c>
      <c r="JX18">
        <v>2488</v>
      </c>
      <c r="JZ18" t="s">
        <v>114</v>
      </c>
      <c r="KA18" t="s">
        <v>1854</v>
      </c>
      <c r="KB18">
        <v>2488</v>
      </c>
      <c r="KD18" t="s">
        <v>1247</v>
      </c>
      <c r="KE18" t="s">
        <v>1864</v>
      </c>
      <c r="KF18">
        <v>454</v>
      </c>
      <c r="KH18" t="s">
        <v>1247</v>
      </c>
      <c r="KI18" t="s">
        <v>1864</v>
      </c>
      <c r="KJ18">
        <v>454</v>
      </c>
      <c r="KL18" t="s">
        <v>1214</v>
      </c>
      <c r="KM18" t="s">
        <v>1891</v>
      </c>
      <c r="KN18">
        <v>1808</v>
      </c>
      <c r="KP18" t="s">
        <v>1212</v>
      </c>
      <c r="KQ18" t="s">
        <v>1892</v>
      </c>
      <c r="KR18">
        <v>907</v>
      </c>
      <c r="KT18" t="s">
        <v>1212</v>
      </c>
      <c r="KU18" t="s">
        <v>1892</v>
      </c>
      <c r="KV18">
        <v>907</v>
      </c>
      <c r="LN18" t="s">
        <v>1479</v>
      </c>
      <c r="LO18" t="s">
        <v>1919</v>
      </c>
      <c r="LP18">
        <v>3584</v>
      </c>
      <c r="MP18" t="s">
        <v>928</v>
      </c>
      <c r="MQ18" t="s">
        <v>1788</v>
      </c>
      <c r="MR18">
        <v>-412</v>
      </c>
      <c r="MX18" t="s">
        <v>1423</v>
      </c>
      <c r="MY18" t="str">
        <f t="shared" si="0"/>
        <v>Ultrasonic Base Cabinet</v>
      </c>
      <c r="MZ18">
        <v>732</v>
      </c>
      <c r="NA18" t="str">
        <f t="shared" si="1"/>
        <v>18</v>
      </c>
      <c r="NB18" t="str">
        <f t="shared" si="2"/>
        <v>24</v>
      </c>
      <c r="NC18" t="str">
        <f t="shared" si="3"/>
        <v>24</v>
      </c>
      <c r="NE18" t="s">
        <v>1991</v>
      </c>
      <c r="NF18" t="s">
        <v>1992</v>
      </c>
      <c r="NP18" t="s">
        <v>947</v>
      </c>
      <c r="NQ18" t="s">
        <v>1871</v>
      </c>
      <c r="NR18">
        <v>407</v>
      </c>
      <c r="NT18" t="s">
        <v>959</v>
      </c>
      <c r="NU18" t="s">
        <v>2048</v>
      </c>
      <c r="NV18">
        <v>608</v>
      </c>
      <c r="OB18" t="s">
        <v>963</v>
      </c>
      <c r="OC18" t="s">
        <v>964</v>
      </c>
      <c r="OD18">
        <v>608</v>
      </c>
      <c r="SJ18" t="s">
        <v>694</v>
      </c>
      <c r="SK18" t="s">
        <v>2342</v>
      </c>
      <c r="SL18">
        <v>1535</v>
      </c>
      <c r="SN18" t="s">
        <v>694</v>
      </c>
      <c r="SO18" t="s">
        <v>2342</v>
      </c>
      <c r="SP18">
        <v>1535</v>
      </c>
      <c r="SR18" t="s">
        <v>694</v>
      </c>
      <c r="SS18" t="s">
        <v>2342</v>
      </c>
      <c r="ST18">
        <v>1535</v>
      </c>
      <c r="SV18" t="s">
        <v>694</v>
      </c>
      <c r="SW18" t="s">
        <v>2342</v>
      </c>
      <c r="SX18">
        <v>1535</v>
      </c>
    </row>
    <row r="19" spans="1:550">
      <c r="A19" t="s">
        <v>582</v>
      </c>
      <c r="B19" t="s">
        <v>583</v>
      </c>
      <c r="C19">
        <v>26</v>
      </c>
      <c r="G19" s="47" t="s">
        <v>359</v>
      </c>
      <c r="H19" s="164"/>
      <c r="K19" s="159" t="s">
        <v>210</v>
      </c>
      <c r="L19" s="164"/>
      <c r="O19" s="154" t="s">
        <v>102</v>
      </c>
      <c r="P19" s="165"/>
      <c r="Q19" s="153" t="s">
        <v>269</v>
      </c>
      <c r="S19" s="11" t="s">
        <v>752</v>
      </c>
      <c r="JR19" t="s">
        <v>1141</v>
      </c>
      <c r="JS19" t="s">
        <v>1827</v>
      </c>
      <c r="JT19">
        <v>1911</v>
      </c>
      <c r="JV19" t="s">
        <v>748</v>
      </c>
      <c r="JW19" t="s">
        <v>1855</v>
      </c>
      <c r="JX19">
        <v>109</v>
      </c>
      <c r="JZ19" t="s">
        <v>748</v>
      </c>
      <c r="KA19" t="s">
        <v>1855</v>
      </c>
      <c r="KB19">
        <v>109</v>
      </c>
      <c r="KD19" t="s">
        <v>1250</v>
      </c>
      <c r="KE19" t="s">
        <v>1865</v>
      </c>
      <c r="KF19">
        <v>608</v>
      </c>
      <c r="KH19" t="s">
        <v>1250</v>
      </c>
      <c r="KI19" t="s">
        <v>1865</v>
      </c>
      <c r="KJ19">
        <v>608</v>
      </c>
      <c r="MP19" t="s">
        <v>884</v>
      </c>
      <c r="MQ19" t="s">
        <v>1942</v>
      </c>
      <c r="MR19">
        <v>1334</v>
      </c>
      <c r="MX19" t="s">
        <v>1429</v>
      </c>
      <c r="MY19" t="str">
        <f t="shared" si="0"/>
        <v>Ultrasonic Base Cabinet</v>
      </c>
      <c r="MZ19">
        <v>742</v>
      </c>
      <c r="NA19" t="str">
        <f t="shared" si="1"/>
        <v>20</v>
      </c>
      <c r="NB19" t="str">
        <f t="shared" si="2"/>
        <v>24</v>
      </c>
      <c r="NC19" t="str">
        <f t="shared" si="3"/>
        <v>24</v>
      </c>
      <c r="NP19" t="s">
        <v>949</v>
      </c>
      <c r="NQ19" t="s">
        <v>2045</v>
      </c>
      <c r="NR19">
        <v>376</v>
      </c>
      <c r="NT19" t="s">
        <v>961</v>
      </c>
      <c r="NU19" t="s">
        <v>962</v>
      </c>
      <c r="NV19">
        <v>696</v>
      </c>
      <c r="SJ19" t="s">
        <v>700</v>
      </c>
      <c r="SK19" t="s">
        <v>2344</v>
      </c>
      <c r="SL19">
        <v>62</v>
      </c>
      <c r="SN19" t="s">
        <v>702</v>
      </c>
      <c r="SO19" t="s">
        <v>2344</v>
      </c>
      <c r="SP19">
        <v>62</v>
      </c>
      <c r="SR19" t="s">
        <v>704</v>
      </c>
      <c r="SS19" t="s">
        <v>2344</v>
      </c>
      <c r="ST19">
        <v>62</v>
      </c>
      <c r="SV19" t="s">
        <v>706</v>
      </c>
      <c r="SW19" t="s">
        <v>2344</v>
      </c>
      <c r="SX19">
        <v>62</v>
      </c>
    </row>
    <row r="20" spans="1:550">
      <c r="A20" t="s">
        <v>548</v>
      </c>
      <c r="B20" t="s">
        <v>1643</v>
      </c>
      <c r="C20">
        <v>618</v>
      </c>
      <c r="G20" s="47" t="s">
        <v>356</v>
      </c>
      <c r="H20" s="164"/>
      <c r="K20" s="161" t="s">
        <v>214</v>
      </c>
      <c r="L20" s="164"/>
      <c r="O20" s="155" t="s">
        <v>120</v>
      </c>
      <c r="P20" s="165"/>
      <c r="Q20" s="153" t="s">
        <v>271</v>
      </c>
      <c r="S20" s="11" t="s">
        <v>448</v>
      </c>
      <c r="JR20" t="s">
        <v>1143</v>
      </c>
      <c r="JS20" t="s">
        <v>1828</v>
      </c>
      <c r="JT20">
        <v>1103</v>
      </c>
      <c r="JV20" t="s">
        <v>448</v>
      </c>
      <c r="JW20" t="s">
        <v>447</v>
      </c>
      <c r="JX20">
        <v>114</v>
      </c>
      <c r="JZ20" t="s">
        <v>448</v>
      </c>
      <c r="KA20" t="s">
        <v>447</v>
      </c>
      <c r="KB20">
        <v>114</v>
      </c>
      <c r="KD20" t="s">
        <v>1075</v>
      </c>
      <c r="KE20" t="s">
        <v>1849</v>
      </c>
      <c r="KF20">
        <v>706</v>
      </c>
      <c r="KH20" t="s">
        <v>1075</v>
      </c>
      <c r="KI20" t="s">
        <v>1849</v>
      </c>
      <c r="KJ20">
        <v>706</v>
      </c>
      <c r="MP20" t="s">
        <v>886</v>
      </c>
      <c r="MQ20" t="s">
        <v>1943</v>
      </c>
      <c r="MR20">
        <v>866</v>
      </c>
      <c r="MX20" t="s">
        <v>1409</v>
      </c>
      <c r="MY20" t="str">
        <f t="shared" si="0"/>
        <v>Trash Base Cabinet with Drawer</v>
      </c>
      <c r="MZ20">
        <v>1267</v>
      </c>
      <c r="NA20" t="str">
        <f t="shared" si="1"/>
        <v>12</v>
      </c>
      <c r="NB20" t="str">
        <f t="shared" si="2"/>
        <v>34</v>
      </c>
      <c r="NC20" t="str">
        <f t="shared" si="3"/>
        <v>24</v>
      </c>
      <c r="NP20" t="s">
        <v>951</v>
      </c>
      <c r="NQ20" t="s">
        <v>2046</v>
      </c>
      <c r="NR20">
        <v>608</v>
      </c>
      <c r="NT20" t="s">
        <v>963</v>
      </c>
      <c r="NU20" t="s">
        <v>964</v>
      </c>
      <c r="NV20">
        <v>608</v>
      </c>
    </row>
    <row r="21" spans="1:550">
      <c r="A21" t="s">
        <v>421</v>
      </c>
      <c r="B21" t="s">
        <v>422</v>
      </c>
      <c r="C21">
        <v>1365</v>
      </c>
      <c r="G21" s="47" t="s">
        <v>360</v>
      </c>
      <c r="H21" s="164"/>
      <c r="K21" s="159" t="s">
        <v>212</v>
      </c>
      <c r="L21" s="164"/>
      <c r="O21" s="156" t="s">
        <v>122</v>
      </c>
      <c r="P21" s="165"/>
      <c r="Q21" s="153" t="s">
        <v>273</v>
      </c>
      <c r="S21" s="11" t="s">
        <v>448</v>
      </c>
      <c r="JR21" t="s">
        <v>1208</v>
      </c>
      <c r="JS21" t="s">
        <v>1791</v>
      </c>
      <c r="JT21">
        <v>433</v>
      </c>
      <c r="JV21" t="s">
        <v>752</v>
      </c>
      <c r="JW21" t="s">
        <v>1856</v>
      </c>
      <c r="JX21">
        <v>304</v>
      </c>
      <c r="JZ21" t="s">
        <v>752</v>
      </c>
      <c r="KA21" t="s">
        <v>1856</v>
      </c>
      <c r="KB21">
        <v>304</v>
      </c>
      <c r="KD21" t="s">
        <v>1866</v>
      </c>
      <c r="KE21" t="s">
        <v>1867</v>
      </c>
      <c r="KF21">
        <v>788</v>
      </c>
      <c r="KH21" t="s">
        <v>1866</v>
      </c>
      <c r="KI21" t="s">
        <v>1867</v>
      </c>
      <c r="KJ21">
        <v>788</v>
      </c>
      <c r="MP21" t="s">
        <v>908</v>
      </c>
      <c r="MQ21" t="s">
        <v>1944</v>
      </c>
      <c r="MR21">
        <v>2163</v>
      </c>
      <c r="MX21" t="s">
        <v>1411</v>
      </c>
      <c r="MY21" t="str">
        <f t="shared" si="0"/>
        <v>Trash Base Cabinet with Drawer</v>
      </c>
      <c r="MZ21">
        <v>1278</v>
      </c>
      <c r="NA21" t="str">
        <f t="shared" si="1"/>
        <v>13</v>
      </c>
      <c r="NB21" t="str">
        <f t="shared" si="2"/>
        <v>34</v>
      </c>
      <c r="NC21" t="str">
        <f t="shared" si="3"/>
        <v>24</v>
      </c>
    </row>
    <row r="22" spans="1:550">
      <c r="A22" t="s">
        <v>546</v>
      </c>
      <c r="B22" t="s">
        <v>1644</v>
      </c>
      <c r="C22">
        <v>685</v>
      </c>
      <c r="G22" s="47" t="s">
        <v>362</v>
      </c>
      <c r="H22" s="164"/>
      <c r="L22" s="164"/>
      <c r="O22" s="156" t="s">
        <v>124</v>
      </c>
      <c r="P22" s="165"/>
      <c r="Q22" s="153" t="s">
        <v>275</v>
      </c>
      <c r="S22" s="11" t="s">
        <v>754</v>
      </c>
      <c r="JR22" t="s">
        <v>1204</v>
      </c>
      <c r="JS22" t="s">
        <v>1792</v>
      </c>
      <c r="JT22">
        <v>598</v>
      </c>
      <c r="KD22" t="s">
        <v>1216</v>
      </c>
      <c r="KE22" t="s">
        <v>1217</v>
      </c>
      <c r="KF22">
        <v>62</v>
      </c>
      <c r="KH22" t="s">
        <v>1216</v>
      </c>
      <c r="KI22" t="s">
        <v>1217</v>
      </c>
      <c r="KJ22">
        <v>62</v>
      </c>
      <c r="MP22" t="s">
        <v>910</v>
      </c>
      <c r="MQ22" t="s">
        <v>1945</v>
      </c>
      <c r="MR22">
        <v>1535</v>
      </c>
      <c r="MX22" t="s">
        <v>1413</v>
      </c>
      <c r="MY22" t="str">
        <f t="shared" si="0"/>
        <v>Trash Base Cabinet with Drawer</v>
      </c>
      <c r="MZ22">
        <v>1288</v>
      </c>
      <c r="NA22" t="str">
        <f t="shared" si="1"/>
        <v>15</v>
      </c>
      <c r="NB22" t="str">
        <f t="shared" si="2"/>
        <v>34</v>
      </c>
      <c r="NC22" t="str">
        <f t="shared" si="3"/>
        <v>24</v>
      </c>
    </row>
    <row r="23" spans="1:550">
      <c r="A23" t="s">
        <v>544</v>
      </c>
      <c r="B23" t="s">
        <v>1645</v>
      </c>
      <c r="C23">
        <v>639</v>
      </c>
      <c r="G23" s="47" t="s">
        <v>364</v>
      </c>
      <c r="H23" s="164"/>
      <c r="O23" s="156" t="s">
        <v>126</v>
      </c>
      <c r="P23" s="165"/>
      <c r="Q23" s="153" t="s">
        <v>243</v>
      </c>
      <c r="S23" s="11" t="s">
        <v>756</v>
      </c>
      <c r="JR23" t="s">
        <v>1212</v>
      </c>
      <c r="JS23" t="s">
        <v>1793</v>
      </c>
      <c r="JT23">
        <v>907</v>
      </c>
      <c r="KD23" t="s">
        <v>1107</v>
      </c>
      <c r="KE23" t="s">
        <v>1868</v>
      </c>
      <c r="KF23">
        <v>237</v>
      </c>
      <c r="KH23" t="s">
        <v>1107</v>
      </c>
      <c r="KI23" t="s">
        <v>1868</v>
      </c>
      <c r="KJ23">
        <v>237</v>
      </c>
      <c r="MX23" t="s">
        <v>1415</v>
      </c>
      <c r="MY23" t="str">
        <f t="shared" si="0"/>
        <v>Trash Base Cabinet with Drawer</v>
      </c>
      <c r="MZ23">
        <v>1303</v>
      </c>
      <c r="NA23" t="str">
        <f t="shared" si="1"/>
        <v>18</v>
      </c>
      <c r="NB23" t="str">
        <f t="shared" si="2"/>
        <v>34</v>
      </c>
      <c r="NC23" t="str">
        <f t="shared" si="3"/>
        <v>24</v>
      </c>
    </row>
    <row r="24" spans="1:550">
      <c r="A24" t="s">
        <v>423</v>
      </c>
      <c r="B24" t="s">
        <v>424</v>
      </c>
      <c r="C24">
        <v>134</v>
      </c>
      <c r="G24" s="47" t="s">
        <v>366</v>
      </c>
      <c r="H24" s="164"/>
      <c r="O24" s="156" t="s">
        <v>128</v>
      </c>
      <c r="P24" s="165"/>
      <c r="Q24" s="153" t="s">
        <v>245</v>
      </c>
      <c r="S24" s="51" t="s">
        <v>759</v>
      </c>
      <c r="JR24" t="s">
        <v>1027</v>
      </c>
      <c r="JS24" t="s">
        <v>1829</v>
      </c>
      <c r="JT24">
        <v>2014</v>
      </c>
      <c r="KD24" t="s">
        <v>1250</v>
      </c>
      <c r="KE24" t="s">
        <v>1865</v>
      </c>
      <c r="KF24">
        <v>608</v>
      </c>
      <c r="KH24" t="s">
        <v>1250</v>
      </c>
      <c r="KI24" t="s">
        <v>1865</v>
      </c>
      <c r="KJ24">
        <v>608</v>
      </c>
      <c r="MX24" t="s">
        <v>1397</v>
      </c>
      <c r="MY24" t="str">
        <f t="shared" si="0"/>
        <v>Trash Base Cabinet</v>
      </c>
      <c r="MZ24">
        <v>1051</v>
      </c>
      <c r="NA24" t="str">
        <f t="shared" si="1"/>
        <v>13</v>
      </c>
      <c r="NB24" t="str">
        <f t="shared" si="2"/>
        <v>34</v>
      </c>
      <c r="NC24" t="str">
        <f t="shared" si="3"/>
        <v>24</v>
      </c>
    </row>
    <row r="25" spans="1:550">
      <c r="A25" t="s">
        <v>420</v>
      </c>
      <c r="B25" t="s">
        <v>1646</v>
      </c>
      <c r="C25">
        <v>165</v>
      </c>
      <c r="G25" s="47" t="s">
        <v>367</v>
      </c>
      <c r="H25" s="164"/>
      <c r="O25" s="156" t="s">
        <v>130</v>
      </c>
      <c r="P25" s="165"/>
      <c r="Q25" s="153" t="s">
        <v>249</v>
      </c>
      <c r="S25" s="11" t="s">
        <v>761</v>
      </c>
      <c r="JR25" t="s">
        <v>1029</v>
      </c>
      <c r="JS25" t="s">
        <v>1830</v>
      </c>
      <c r="JT25">
        <v>2133</v>
      </c>
      <c r="KD25" t="s">
        <v>112</v>
      </c>
      <c r="KE25" t="s">
        <v>1853</v>
      </c>
      <c r="KF25">
        <v>3595</v>
      </c>
      <c r="KH25" t="s">
        <v>112</v>
      </c>
      <c r="KI25" t="s">
        <v>1853</v>
      </c>
      <c r="KJ25">
        <v>3595</v>
      </c>
      <c r="MX25" t="s">
        <v>1399</v>
      </c>
      <c r="MY25" t="str">
        <f t="shared" si="0"/>
        <v>Trash Base Cabinet</v>
      </c>
      <c r="MZ25">
        <v>1072</v>
      </c>
      <c r="NA25" t="str">
        <f t="shared" si="1"/>
        <v>15</v>
      </c>
      <c r="NB25" t="str">
        <f t="shared" si="2"/>
        <v>34</v>
      </c>
      <c r="NC25" t="str">
        <f t="shared" si="3"/>
        <v>24</v>
      </c>
    </row>
    <row r="26" spans="1:550">
      <c r="A26" t="s">
        <v>235</v>
      </c>
      <c r="B26" t="s">
        <v>1647</v>
      </c>
      <c r="C26">
        <v>9167</v>
      </c>
      <c r="G26" s="47" t="s">
        <v>331</v>
      </c>
      <c r="H26" s="164"/>
      <c r="O26" s="156" t="s">
        <v>132</v>
      </c>
      <c r="P26" s="165"/>
      <c r="Q26" s="153" t="s">
        <v>251</v>
      </c>
      <c r="S26" s="11" t="s">
        <v>763</v>
      </c>
      <c r="JR26" t="s">
        <v>1034</v>
      </c>
      <c r="JS26" t="s">
        <v>827</v>
      </c>
      <c r="JT26">
        <v>1170</v>
      </c>
      <c r="KD26" t="s">
        <v>114</v>
      </c>
      <c r="KE26" t="s">
        <v>1854</v>
      </c>
      <c r="KF26">
        <v>2488</v>
      </c>
      <c r="KH26" t="s">
        <v>114</v>
      </c>
      <c r="KI26" t="s">
        <v>1854</v>
      </c>
      <c r="KJ26">
        <v>2488</v>
      </c>
      <c r="MX26" t="s">
        <v>1401</v>
      </c>
      <c r="MY26" t="str">
        <f t="shared" si="0"/>
        <v>Trash Base Cabinet</v>
      </c>
      <c r="MZ26">
        <v>1103</v>
      </c>
      <c r="NA26" t="str">
        <f t="shared" si="1"/>
        <v>18</v>
      </c>
      <c r="NB26" t="str">
        <f t="shared" si="2"/>
        <v>34</v>
      </c>
      <c r="NC26" t="str">
        <f t="shared" si="3"/>
        <v>24</v>
      </c>
    </row>
    <row r="27" spans="1:550">
      <c r="A27" t="s">
        <v>239</v>
      </c>
      <c r="B27" t="s">
        <v>1648</v>
      </c>
      <c r="C27">
        <v>10295</v>
      </c>
      <c r="G27" s="47" t="s">
        <v>333</v>
      </c>
      <c r="H27" s="164"/>
      <c r="O27" s="156" t="s">
        <v>134</v>
      </c>
      <c r="P27" s="165"/>
      <c r="Q27" s="153" t="s">
        <v>247</v>
      </c>
      <c r="S27" s="51" t="s">
        <v>765</v>
      </c>
      <c r="JR27" t="s">
        <v>1035</v>
      </c>
      <c r="JS27" t="s">
        <v>1831</v>
      </c>
      <c r="JT27">
        <v>1267</v>
      </c>
      <c r="KD27" t="s">
        <v>748</v>
      </c>
      <c r="KE27" t="s">
        <v>1855</v>
      </c>
      <c r="KF27">
        <v>109</v>
      </c>
      <c r="KH27" t="s">
        <v>748</v>
      </c>
      <c r="KI27" t="s">
        <v>1855</v>
      </c>
      <c r="KJ27">
        <v>109</v>
      </c>
      <c r="MX27" t="s">
        <v>1403</v>
      </c>
      <c r="MY27" t="str">
        <f t="shared" si="0"/>
        <v>Trash Base Cabinet</v>
      </c>
      <c r="MZ27">
        <v>1267</v>
      </c>
      <c r="NA27" t="str">
        <f t="shared" si="1"/>
        <v>24</v>
      </c>
      <c r="NB27" t="str">
        <f t="shared" si="2"/>
        <v>34</v>
      </c>
      <c r="NC27" t="str">
        <f t="shared" si="3"/>
        <v>24</v>
      </c>
    </row>
    <row r="28" spans="1:550">
      <c r="A28" t="s">
        <v>580</v>
      </c>
      <c r="B28" t="s">
        <v>580</v>
      </c>
      <c r="C28">
        <v>376</v>
      </c>
      <c r="G28" s="47" t="s">
        <v>285</v>
      </c>
      <c r="H28" s="164"/>
      <c r="O28" s="156" t="s">
        <v>136</v>
      </c>
      <c r="P28" s="165"/>
      <c r="Q28" s="153" t="s">
        <v>267</v>
      </c>
      <c r="S28" s="51" t="s">
        <v>767</v>
      </c>
      <c r="JR28" t="s">
        <v>1037</v>
      </c>
      <c r="JS28" t="s">
        <v>1832</v>
      </c>
      <c r="JT28">
        <v>1494</v>
      </c>
      <c r="KD28" t="s">
        <v>448</v>
      </c>
      <c r="KE28" t="s">
        <v>447</v>
      </c>
      <c r="KF28">
        <v>114</v>
      </c>
      <c r="KH28" t="s">
        <v>448</v>
      </c>
      <c r="KI28" t="s">
        <v>447</v>
      </c>
      <c r="KJ28">
        <v>114</v>
      </c>
      <c r="MX28" t="s">
        <v>1405</v>
      </c>
      <c r="MY28" t="str">
        <f t="shared" si="0"/>
        <v>Trash Base Cabinet</v>
      </c>
      <c r="MZ28">
        <v>1288</v>
      </c>
      <c r="NA28" t="str">
        <f t="shared" si="1"/>
        <v>27</v>
      </c>
      <c r="NB28" t="str">
        <f t="shared" si="2"/>
        <v>34</v>
      </c>
      <c r="NC28" t="str">
        <f t="shared" si="3"/>
        <v>24</v>
      </c>
    </row>
    <row r="29" spans="1:550">
      <c r="A29" t="s">
        <v>418</v>
      </c>
      <c r="B29" t="s">
        <v>418</v>
      </c>
      <c r="C29">
        <v>624</v>
      </c>
      <c r="G29" s="47" t="s">
        <v>283</v>
      </c>
      <c r="H29" s="164"/>
      <c r="O29" s="156" t="s">
        <v>138</v>
      </c>
      <c r="P29" s="165"/>
      <c r="Q29" s="153" t="s">
        <v>265</v>
      </c>
      <c r="S29" s="11" t="s">
        <v>769</v>
      </c>
      <c r="JR29" t="s">
        <v>1038</v>
      </c>
      <c r="JS29" t="s">
        <v>1833</v>
      </c>
      <c r="JT29">
        <v>1623</v>
      </c>
      <c r="KD29" t="s">
        <v>752</v>
      </c>
      <c r="KE29" t="s">
        <v>1856</v>
      </c>
      <c r="KF29">
        <v>304</v>
      </c>
      <c r="KH29" t="s">
        <v>752</v>
      </c>
      <c r="KI29" t="s">
        <v>1856</v>
      </c>
      <c r="KJ29">
        <v>304</v>
      </c>
      <c r="MX29" t="s">
        <v>1407</v>
      </c>
      <c r="MY29" t="str">
        <f t="shared" si="0"/>
        <v>Trash Base Cabinet</v>
      </c>
      <c r="MZ29">
        <v>1314</v>
      </c>
      <c r="NA29" t="str">
        <f t="shared" si="1"/>
        <v>30</v>
      </c>
      <c r="NB29" t="str">
        <f t="shared" si="2"/>
        <v>34</v>
      </c>
      <c r="NC29" t="str">
        <f t="shared" si="3"/>
        <v>24</v>
      </c>
    </row>
    <row r="30" spans="1:550">
      <c r="A30" t="s">
        <v>416</v>
      </c>
      <c r="B30" t="s">
        <v>416</v>
      </c>
      <c r="C30">
        <v>582</v>
      </c>
      <c r="G30" s="47" t="s">
        <v>287</v>
      </c>
      <c r="H30" s="164"/>
      <c r="O30" s="156" t="s">
        <v>144</v>
      </c>
      <c r="P30" s="165"/>
      <c r="Q30" s="153" t="s">
        <v>253</v>
      </c>
      <c r="S30" s="11" t="s">
        <v>771</v>
      </c>
      <c r="JR30" t="s">
        <v>1040</v>
      </c>
      <c r="JS30" t="s">
        <v>1834</v>
      </c>
      <c r="JT30">
        <v>660</v>
      </c>
      <c r="KD30" t="s">
        <v>1182</v>
      </c>
      <c r="KE30" t="s">
        <v>954</v>
      </c>
      <c r="KF30">
        <v>232</v>
      </c>
      <c r="KH30" t="s">
        <v>1182</v>
      </c>
      <c r="KI30" t="s">
        <v>954</v>
      </c>
      <c r="KJ30">
        <v>232</v>
      </c>
      <c r="MX30" t="s">
        <v>1253</v>
      </c>
      <c r="MY30" t="str">
        <f t="shared" si="0"/>
        <v>Base Cabinet</v>
      </c>
      <c r="MZ30">
        <v>721</v>
      </c>
      <c r="NA30" t="str">
        <f t="shared" si="1"/>
        <v>15</v>
      </c>
      <c r="NB30" t="str">
        <f t="shared" si="2"/>
        <v>34</v>
      </c>
      <c r="NC30" t="str">
        <f t="shared" si="3"/>
        <v>24</v>
      </c>
    </row>
    <row r="31" spans="1:550">
      <c r="A31" t="s">
        <v>408</v>
      </c>
      <c r="B31" t="s">
        <v>409</v>
      </c>
      <c r="C31">
        <v>186</v>
      </c>
      <c r="G31" s="47" t="s">
        <v>289</v>
      </c>
      <c r="H31" s="164"/>
      <c r="O31" s="156" t="s">
        <v>146</v>
      </c>
      <c r="P31" s="165"/>
      <c r="Q31" s="153" t="s">
        <v>255</v>
      </c>
      <c r="S31" s="11" t="s">
        <v>773</v>
      </c>
      <c r="JR31" t="s">
        <v>1042</v>
      </c>
      <c r="JS31" t="s">
        <v>1835</v>
      </c>
      <c r="JT31">
        <v>634</v>
      </c>
      <c r="KD31" t="s">
        <v>1183</v>
      </c>
      <c r="KE31" t="s">
        <v>1871</v>
      </c>
      <c r="KF31">
        <v>562</v>
      </c>
      <c r="KH31" t="s">
        <v>1183</v>
      </c>
      <c r="KI31" t="s">
        <v>1871</v>
      </c>
      <c r="KJ31">
        <v>562</v>
      </c>
      <c r="MX31" t="s">
        <v>1255</v>
      </c>
      <c r="MY31" t="str">
        <f t="shared" si="0"/>
        <v>Base Cabinet</v>
      </c>
      <c r="MZ31">
        <v>742</v>
      </c>
      <c r="NA31" t="str">
        <f t="shared" si="1"/>
        <v>18</v>
      </c>
      <c r="NB31" t="str">
        <f t="shared" si="2"/>
        <v>34</v>
      </c>
      <c r="NC31" t="str">
        <f t="shared" si="3"/>
        <v>24</v>
      </c>
    </row>
    <row r="32" spans="1:550">
      <c r="A32" t="s">
        <v>245</v>
      </c>
      <c r="B32" t="s">
        <v>1665</v>
      </c>
      <c r="C32">
        <v>284</v>
      </c>
      <c r="G32" s="47" t="s">
        <v>291</v>
      </c>
      <c r="H32" s="164"/>
      <c r="O32" s="156" t="s">
        <v>148</v>
      </c>
      <c r="P32" s="165"/>
      <c r="Q32" s="153" t="s">
        <v>257</v>
      </c>
      <c r="S32" s="11" t="s">
        <v>775</v>
      </c>
      <c r="JR32" t="s">
        <v>1044</v>
      </c>
      <c r="JS32" t="s">
        <v>1836</v>
      </c>
      <c r="JT32">
        <v>721</v>
      </c>
      <c r="KD32" t="s">
        <v>1184</v>
      </c>
      <c r="KE32" t="s">
        <v>1872</v>
      </c>
      <c r="KF32">
        <v>783</v>
      </c>
      <c r="KH32" t="s">
        <v>1184</v>
      </c>
      <c r="KI32" t="s">
        <v>1872</v>
      </c>
      <c r="KJ32">
        <v>783</v>
      </c>
      <c r="MX32" t="s">
        <v>1257</v>
      </c>
      <c r="MY32" t="str">
        <f t="shared" si="0"/>
        <v>Base Cabinet</v>
      </c>
      <c r="MZ32">
        <v>752</v>
      </c>
      <c r="NA32" t="str">
        <f t="shared" si="1"/>
        <v>21</v>
      </c>
      <c r="NB32" t="str">
        <f t="shared" si="2"/>
        <v>34</v>
      </c>
      <c r="NC32" t="str">
        <f t="shared" si="3"/>
        <v>24</v>
      </c>
    </row>
    <row r="33" spans="1:367">
      <c r="A33" t="s">
        <v>247</v>
      </c>
      <c r="B33" t="s">
        <v>1666</v>
      </c>
      <c r="C33">
        <v>1412</v>
      </c>
      <c r="G33" s="47" t="s">
        <v>299</v>
      </c>
      <c r="H33" s="164"/>
      <c r="O33" s="156" t="s">
        <v>150</v>
      </c>
      <c r="P33" s="165"/>
      <c r="Q33" s="153" t="s">
        <v>261</v>
      </c>
      <c r="S33" s="11" t="s">
        <v>777</v>
      </c>
      <c r="JR33" t="s">
        <v>1050</v>
      </c>
      <c r="JS33" t="s">
        <v>1837</v>
      </c>
      <c r="JT33">
        <v>845</v>
      </c>
      <c r="KD33" t="s">
        <v>1186</v>
      </c>
      <c r="KE33" t="s">
        <v>1873</v>
      </c>
      <c r="KF33">
        <v>552</v>
      </c>
      <c r="KH33" t="s">
        <v>1186</v>
      </c>
      <c r="KI33" t="s">
        <v>1873</v>
      </c>
      <c r="KJ33">
        <v>552</v>
      </c>
      <c r="MX33" t="s">
        <v>1277</v>
      </c>
      <c r="MY33" t="str">
        <f t="shared" si="0"/>
        <v>Base Cabinet</v>
      </c>
      <c r="MZ33">
        <v>964</v>
      </c>
      <c r="NA33" t="str">
        <f t="shared" si="1"/>
        <v>23</v>
      </c>
      <c r="NB33" t="str">
        <f t="shared" si="2"/>
        <v>34</v>
      </c>
      <c r="NC33" t="str">
        <f t="shared" si="3"/>
        <v>24</v>
      </c>
    </row>
    <row r="34" spans="1:367">
      <c r="A34" t="s">
        <v>249</v>
      </c>
      <c r="B34" t="s">
        <v>1667</v>
      </c>
      <c r="C34">
        <v>2627</v>
      </c>
      <c r="G34" s="47" t="s">
        <v>307</v>
      </c>
      <c r="H34" s="164"/>
      <c r="O34" s="156" t="s">
        <v>152</v>
      </c>
      <c r="P34" s="165"/>
      <c r="Q34" s="153" t="s">
        <v>263</v>
      </c>
      <c r="S34" s="11" t="s">
        <v>779</v>
      </c>
      <c r="JR34" t="s">
        <v>1048</v>
      </c>
      <c r="JS34" t="s">
        <v>1838</v>
      </c>
      <c r="JT34">
        <v>1324</v>
      </c>
      <c r="KD34" t="s">
        <v>1188</v>
      </c>
      <c r="KE34" t="s">
        <v>1874</v>
      </c>
      <c r="KF34">
        <v>783</v>
      </c>
      <c r="KH34" t="s">
        <v>1188</v>
      </c>
      <c r="KI34" t="s">
        <v>1874</v>
      </c>
      <c r="KJ34">
        <v>783</v>
      </c>
      <c r="MX34" t="s">
        <v>1279</v>
      </c>
      <c r="MY34" t="str">
        <f t="shared" si="0"/>
        <v>Base Cabinet</v>
      </c>
      <c r="MZ34">
        <v>974</v>
      </c>
      <c r="NA34" t="str">
        <f t="shared" si="1"/>
        <v>24</v>
      </c>
      <c r="NB34" t="str">
        <f t="shared" si="2"/>
        <v>34</v>
      </c>
      <c r="NC34" t="str">
        <f t="shared" si="3"/>
        <v>24</v>
      </c>
    </row>
    <row r="35" spans="1:367">
      <c r="A35" t="s">
        <v>251</v>
      </c>
      <c r="B35" t="s">
        <v>1668</v>
      </c>
      <c r="C35">
        <v>4404</v>
      </c>
      <c r="G35" s="47" t="s">
        <v>303</v>
      </c>
      <c r="H35" s="164"/>
      <c r="O35" s="156" t="s">
        <v>140</v>
      </c>
      <c r="P35" s="165"/>
      <c r="Q35" s="153" t="s">
        <v>259</v>
      </c>
      <c r="S35" s="11" t="s">
        <v>781</v>
      </c>
      <c r="JR35" t="s">
        <v>1243</v>
      </c>
      <c r="JS35" t="s">
        <v>1839</v>
      </c>
      <c r="JT35">
        <v>212</v>
      </c>
      <c r="KD35" t="s">
        <v>1190</v>
      </c>
      <c r="KE35" t="s">
        <v>1875</v>
      </c>
      <c r="KF35">
        <v>783</v>
      </c>
      <c r="KH35" t="s">
        <v>1190</v>
      </c>
      <c r="KI35" t="s">
        <v>1875</v>
      </c>
      <c r="KJ35">
        <v>783</v>
      </c>
      <c r="MX35" t="s">
        <v>1281</v>
      </c>
      <c r="MY35" t="str">
        <f t="shared" ref="MY35:MY57" si="4">IF(ISERROR(VLOOKUP(IF(ISNUMBER(VALUE(RIGHT(LEFT(MX35,3),1))),IF(ISNUMBER(VALUE(RIGHT(LEFT(MX35,2),1))),LEFT(MX35,1),LEFT(MX35,2)),LEFT(MX35,3)),NE:NF,2,FALSE)),"",VLOOKUP(IF(ISNUMBER(VALUE(RIGHT(LEFT(MX35,3),1))),IF(ISNUMBER(VALUE(RIGHT(LEFT(MX35,2),1))),LEFT(MX35,1),LEFT(MX35,2)),LEFT(MX35,3)),NE:NF,2,FALSE))</f>
        <v>Base Cabinet</v>
      </c>
      <c r="MZ35">
        <v>989</v>
      </c>
      <c r="NA35" t="str">
        <f t="shared" si="1"/>
        <v>27</v>
      </c>
      <c r="NB35" t="str">
        <f t="shared" si="2"/>
        <v>34</v>
      </c>
      <c r="NC35" t="str">
        <f t="shared" si="3"/>
        <v>24</v>
      </c>
    </row>
    <row r="36" spans="1:367">
      <c r="A36" t="s">
        <v>267</v>
      </c>
      <c r="B36" t="s">
        <v>1669</v>
      </c>
      <c r="C36">
        <v>1990</v>
      </c>
      <c r="G36" s="47" t="s">
        <v>305</v>
      </c>
      <c r="H36" s="164"/>
      <c r="O36" s="156" t="s">
        <v>142</v>
      </c>
      <c r="P36" s="165"/>
      <c r="Q36" s="150" t="s">
        <v>223</v>
      </c>
      <c r="S36" s="11" t="s">
        <v>783</v>
      </c>
      <c r="JR36" t="s">
        <v>1245</v>
      </c>
      <c r="JS36" t="s">
        <v>1246</v>
      </c>
      <c r="JT36">
        <v>88</v>
      </c>
      <c r="KD36" t="s">
        <v>1191</v>
      </c>
      <c r="KE36" t="s">
        <v>1876</v>
      </c>
      <c r="KF36">
        <v>783</v>
      </c>
      <c r="KH36" t="s">
        <v>1191</v>
      </c>
      <c r="KI36" t="s">
        <v>1876</v>
      </c>
      <c r="KJ36">
        <v>783</v>
      </c>
      <c r="MX36" t="s">
        <v>1301</v>
      </c>
      <c r="MY36" t="str">
        <f t="shared" si="4"/>
        <v>Base Cabinet</v>
      </c>
      <c r="MZ36">
        <v>1030</v>
      </c>
      <c r="NA36" t="str">
        <f t="shared" si="1"/>
        <v>30</v>
      </c>
      <c r="NB36" t="str">
        <f t="shared" si="2"/>
        <v>34</v>
      </c>
      <c r="NC36" t="str">
        <f t="shared" si="3"/>
        <v>24</v>
      </c>
    </row>
    <row r="37" spans="1:367">
      <c r="A37" t="s">
        <v>1670</v>
      </c>
      <c r="B37" t="s">
        <v>1671</v>
      </c>
      <c r="C37">
        <v>1600</v>
      </c>
      <c r="G37" s="47" t="s">
        <v>301</v>
      </c>
      <c r="H37" s="164"/>
      <c r="O37" s="156" t="s">
        <v>154</v>
      </c>
      <c r="P37" s="165"/>
      <c r="S37" s="11" t="s">
        <v>785</v>
      </c>
      <c r="JR37" t="s">
        <v>1096</v>
      </c>
      <c r="JS37" t="s">
        <v>1840</v>
      </c>
      <c r="JT37">
        <v>217</v>
      </c>
      <c r="MX37" t="s">
        <v>1993</v>
      </c>
      <c r="MY37" t="str">
        <f t="shared" si="4"/>
        <v>Base Cabinet</v>
      </c>
      <c r="MZ37">
        <v>1061</v>
      </c>
      <c r="NA37" t="str">
        <f t="shared" si="1"/>
        <v>33</v>
      </c>
      <c r="NB37" t="str">
        <f t="shared" si="2"/>
        <v>4-</v>
      </c>
      <c r="NC37" t="str">
        <f t="shared" si="3"/>
        <v>34</v>
      </c>
    </row>
    <row r="38" spans="1:367">
      <c r="A38" t="s">
        <v>1672</v>
      </c>
      <c r="B38" t="s">
        <v>1673</v>
      </c>
      <c r="C38">
        <v>1200</v>
      </c>
      <c r="G38" s="47" t="s">
        <v>295</v>
      </c>
      <c r="H38" s="164"/>
      <c r="O38" s="156" t="s">
        <v>156</v>
      </c>
      <c r="P38" s="165"/>
      <c r="S38" s="11" t="s">
        <v>787</v>
      </c>
      <c r="JR38" t="s">
        <v>1247</v>
      </c>
      <c r="JS38" t="s">
        <v>1841</v>
      </c>
      <c r="JT38">
        <v>454</v>
      </c>
      <c r="MX38" t="s">
        <v>1305</v>
      </c>
      <c r="MY38" t="str">
        <f t="shared" si="4"/>
        <v>Base Cabinet</v>
      </c>
      <c r="MZ38">
        <v>1082</v>
      </c>
      <c r="NA38" t="str">
        <f t="shared" si="1"/>
        <v>36</v>
      </c>
      <c r="NB38" t="str">
        <f t="shared" si="2"/>
        <v>34</v>
      </c>
      <c r="NC38" t="str">
        <f t="shared" si="3"/>
        <v>24</v>
      </c>
    </row>
    <row r="39" spans="1:367">
      <c r="A39" t="s">
        <v>1674</v>
      </c>
      <c r="B39" t="s">
        <v>1675</v>
      </c>
      <c r="C39">
        <v>600</v>
      </c>
      <c r="G39" s="47" t="s">
        <v>297</v>
      </c>
      <c r="H39" s="164"/>
      <c r="O39" s="156" t="s">
        <v>158</v>
      </c>
      <c r="P39" s="165"/>
      <c r="S39" s="11" t="s">
        <v>789</v>
      </c>
      <c r="JR39" t="s">
        <v>110</v>
      </c>
      <c r="JS39" t="s">
        <v>1794</v>
      </c>
      <c r="JT39">
        <v>5336</v>
      </c>
      <c r="MX39" t="s">
        <v>1259</v>
      </c>
      <c r="MY39" t="str">
        <f t="shared" si="4"/>
        <v>Base Cabinet with 1 Drawer</v>
      </c>
      <c r="MZ39">
        <v>953</v>
      </c>
      <c r="NA39" t="str">
        <f t="shared" si="1"/>
        <v>15</v>
      </c>
      <c r="NB39" t="str">
        <f t="shared" si="2"/>
        <v>34</v>
      </c>
      <c r="NC39" t="str">
        <f t="shared" si="3"/>
        <v>24</v>
      </c>
    </row>
    <row r="40" spans="1:367">
      <c r="A40" t="s">
        <v>255</v>
      </c>
      <c r="B40" t="s">
        <v>1678</v>
      </c>
      <c r="C40">
        <v>2632</v>
      </c>
      <c r="G40" s="47" t="s">
        <v>293</v>
      </c>
      <c r="H40" s="164"/>
      <c r="O40" s="156" t="s">
        <v>160</v>
      </c>
      <c r="P40" s="165"/>
      <c r="S40" s="11" t="s">
        <v>791</v>
      </c>
      <c r="MX40" t="s">
        <v>1261</v>
      </c>
      <c r="MY40" t="str">
        <f t="shared" si="4"/>
        <v>Base Cabinet with 1 Drawer</v>
      </c>
      <c r="MZ40">
        <v>964</v>
      </c>
      <c r="NA40" t="str">
        <f t="shared" si="1"/>
        <v>18</v>
      </c>
      <c r="NB40" t="str">
        <f t="shared" si="2"/>
        <v>34</v>
      </c>
      <c r="NC40" t="str">
        <f t="shared" si="3"/>
        <v>24</v>
      </c>
    </row>
    <row r="41" spans="1:367">
      <c r="A41" t="s">
        <v>1679</v>
      </c>
      <c r="B41" t="s">
        <v>1680</v>
      </c>
      <c r="C41">
        <v>284</v>
      </c>
      <c r="G41" s="47" t="s">
        <v>309</v>
      </c>
      <c r="H41" s="164"/>
      <c r="O41" s="156" t="s">
        <v>162</v>
      </c>
      <c r="P41" s="165"/>
      <c r="S41" s="11" t="s">
        <v>793</v>
      </c>
      <c r="MX41" t="s">
        <v>1263</v>
      </c>
      <c r="MY41" t="str">
        <f t="shared" si="4"/>
        <v>Base Cabinet with 1 Drawer</v>
      </c>
      <c r="MZ41">
        <v>989</v>
      </c>
      <c r="NA41" t="str">
        <f t="shared" si="1"/>
        <v>21</v>
      </c>
      <c r="NB41" t="str">
        <f t="shared" si="2"/>
        <v>34</v>
      </c>
      <c r="NC41" t="str">
        <f t="shared" si="3"/>
        <v>24</v>
      </c>
    </row>
    <row r="42" spans="1:367">
      <c r="A42" t="s">
        <v>1681</v>
      </c>
      <c r="B42" t="s">
        <v>1684</v>
      </c>
      <c r="C42">
        <v>1412</v>
      </c>
      <c r="G42" s="47" t="s">
        <v>311</v>
      </c>
      <c r="H42" s="164"/>
      <c r="O42" s="156" t="s">
        <v>164</v>
      </c>
      <c r="P42" s="165"/>
      <c r="S42" s="11" t="s">
        <v>794</v>
      </c>
      <c r="MX42" t="s">
        <v>1265</v>
      </c>
      <c r="MY42" t="str">
        <f t="shared" si="4"/>
        <v>Base Cabinet with 1 Drawer</v>
      </c>
      <c r="MZ42">
        <v>1180</v>
      </c>
      <c r="NA42" t="str">
        <f t="shared" si="1"/>
        <v>23</v>
      </c>
      <c r="NB42" t="str">
        <f t="shared" si="2"/>
        <v>34</v>
      </c>
      <c r="NC42" t="str">
        <f t="shared" si="3"/>
        <v>24</v>
      </c>
    </row>
    <row r="43" spans="1:367">
      <c r="A43" t="s">
        <v>1682</v>
      </c>
      <c r="B43" t="s">
        <v>1685</v>
      </c>
      <c r="C43">
        <v>2627</v>
      </c>
      <c r="G43" s="47" t="s">
        <v>313</v>
      </c>
      <c r="H43" s="164"/>
      <c r="O43" s="156" t="s">
        <v>166</v>
      </c>
      <c r="P43" s="165"/>
      <c r="S43" s="11" t="s">
        <v>796</v>
      </c>
      <c r="MX43" t="s">
        <v>1267</v>
      </c>
      <c r="MY43" t="str">
        <f t="shared" si="4"/>
        <v>Base Cabinet with 1 Drawer</v>
      </c>
      <c r="MZ43">
        <v>1206</v>
      </c>
      <c r="NA43" t="str">
        <f t="shared" si="1"/>
        <v>24</v>
      </c>
      <c r="NB43" t="str">
        <f t="shared" si="2"/>
        <v>34</v>
      </c>
      <c r="NC43" t="str">
        <f t="shared" si="3"/>
        <v>24</v>
      </c>
    </row>
    <row r="44" spans="1:367">
      <c r="A44" t="s">
        <v>1683</v>
      </c>
      <c r="B44" t="s">
        <v>1686</v>
      </c>
      <c r="C44">
        <v>4404</v>
      </c>
      <c r="G44" s="47" t="s">
        <v>315</v>
      </c>
      <c r="H44" s="164"/>
      <c r="O44" s="156" t="s">
        <v>168</v>
      </c>
      <c r="P44" s="165"/>
      <c r="S44" s="11" t="s">
        <v>798</v>
      </c>
      <c r="MX44" t="s">
        <v>1269</v>
      </c>
      <c r="MY44" t="str">
        <f t="shared" si="4"/>
        <v>Base Cabinet with 1 Drawer</v>
      </c>
      <c r="MZ44">
        <v>1231</v>
      </c>
      <c r="NA44" t="str">
        <f t="shared" si="1"/>
        <v>27</v>
      </c>
      <c r="NB44" t="str">
        <f t="shared" si="2"/>
        <v>34</v>
      </c>
      <c r="NC44" t="str">
        <f t="shared" si="3"/>
        <v>24</v>
      </c>
    </row>
    <row r="45" spans="1:367">
      <c r="A45" t="s">
        <v>1688</v>
      </c>
      <c r="B45" t="s">
        <v>1687</v>
      </c>
      <c r="C45">
        <v>3400</v>
      </c>
      <c r="G45" s="47" t="s">
        <v>317</v>
      </c>
      <c r="H45" s="164"/>
      <c r="O45" s="156" t="s">
        <v>170</v>
      </c>
      <c r="P45" s="165"/>
      <c r="S45" s="51" t="s">
        <v>800</v>
      </c>
      <c r="MX45" t="s">
        <v>1271</v>
      </c>
      <c r="MY45" t="str">
        <f t="shared" si="4"/>
        <v>Base Cabinet with 1 Drawer</v>
      </c>
      <c r="MZ45">
        <v>1257</v>
      </c>
      <c r="NA45" t="str">
        <f t="shared" si="1"/>
        <v>30</v>
      </c>
      <c r="NB45" t="str">
        <f t="shared" si="2"/>
        <v>34</v>
      </c>
      <c r="NC45" t="str">
        <f t="shared" si="3"/>
        <v>24</v>
      </c>
    </row>
    <row r="46" spans="1:367">
      <c r="A46" t="s">
        <v>1689</v>
      </c>
      <c r="B46" t="s">
        <v>1690</v>
      </c>
      <c r="C46">
        <v>550</v>
      </c>
      <c r="G46" s="47" t="s">
        <v>319</v>
      </c>
      <c r="H46" s="164"/>
      <c r="O46" s="156" t="s">
        <v>172</v>
      </c>
      <c r="P46" s="165"/>
      <c r="S46" s="51" t="s">
        <v>802</v>
      </c>
      <c r="MX46" t="s">
        <v>1273</v>
      </c>
      <c r="MY46" t="str">
        <f t="shared" si="4"/>
        <v>Base Cabinet with 1 Drawer</v>
      </c>
      <c r="MZ46">
        <v>1278</v>
      </c>
      <c r="NA46" t="str">
        <f t="shared" si="1"/>
        <v>33</v>
      </c>
      <c r="NB46" t="str">
        <f t="shared" si="2"/>
        <v>34</v>
      </c>
      <c r="NC46" t="str">
        <f t="shared" si="3"/>
        <v>24</v>
      </c>
    </row>
    <row r="47" spans="1:367">
      <c r="A47" t="s">
        <v>277</v>
      </c>
      <c r="B47" t="s">
        <v>1691</v>
      </c>
      <c r="C47">
        <v>8000</v>
      </c>
      <c r="G47" s="47" t="s">
        <v>321</v>
      </c>
      <c r="H47" s="164"/>
      <c r="O47" s="156" t="s">
        <v>174</v>
      </c>
      <c r="P47" s="165"/>
      <c r="S47" s="51" t="s">
        <v>804</v>
      </c>
      <c r="MX47" t="s">
        <v>1275</v>
      </c>
      <c r="MY47" t="str">
        <f t="shared" si="4"/>
        <v>Base Cabinet with 1 Drawer</v>
      </c>
      <c r="MZ47">
        <v>1303</v>
      </c>
      <c r="NA47" t="str">
        <f t="shared" si="1"/>
        <v>36</v>
      </c>
      <c r="NB47" t="str">
        <f t="shared" si="2"/>
        <v>34</v>
      </c>
      <c r="NC47" t="str">
        <f t="shared" si="3"/>
        <v>24</v>
      </c>
    </row>
    <row r="48" spans="1:367">
      <c r="A48" t="s">
        <v>279</v>
      </c>
      <c r="B48" t="s">
        <v>1692</v>
      </c>
      <c r="C48">
        <v>2000</v>
      </c>
      <c r="G48" s="47" t="s">
        <v>323</v>
      </c>
      <c r="H48" s="164"/>
      <c r="O48" s="156" t="s">
        <v>176</v>
      </c>
      <c r="P48" s="165"/>
      <c r="S48" s="51" t="s">
        <v>806</v>
      </c>
      <c r="MX48" t="s">
        <v>1283</v>
      </c>
      <c r="MY48" t="str">
        <f t="shared" si="4"/>
        <v>Base Cabinet with 2 Drawers</v>
      </c>
      <c r="MZ48">
        <v>1159</v>
      </c>
      <c r="NA48" t="str">
        <f t="shared" si="1"/>
        <v>15</v>
      </c>
      <c r="NB48" t="str">
        <f t="shared" si="2"/>
        <v>34</v>
      </c>
      <c r="NC48" t="str">
        <f t="shared" si="3"/>
        <v>24</v>
      </c>
    </row>
    <row r="49" spans="1:367">
      <c r="A49" t="s">
        <v>1693</v>
      </c>
      <c r="B49" t="s">
        <v>1694</v>
      </c>
      <c r="C49">
        <v>1200</v>
      </c>
      <c r="G49" s="47" t="s">
        <v>325</v>
      </c>
      <c r="H49" s="164"/>
      <c r="O49" s="157" t="s">
        <v>74</v>
      </c>
      <c r="P49" s="165"/>
      <c r="S49" s="51" t="s">
        <v>808</v>
      </c>
      <c r="MX49" t="s">
        <v>1285</v>
      </c>
      <c r="MY49" t="str">
        <f t="shared" si="4"/>
        <v>Base Cabinet with 2 Drawers</v>
      </c>
      <c r="MZ49">
        <v>1180</v>
      </c>
      <c r="NA49" t="str">
        <f t="shared" si="1"/>
        <v>18</v>
      </c>
      <c r="NB49" t="str">
        <f t="shared" si="2"/>
        <v>34</v>
      </c>
      <c r="NC49" t="str">
        <f t="shared" si="3"/>
        <v>24</v>
      </c>
    </row>
    <row r="50" spans="1:367">
      <c r="A50">
        <v>84600006</v>
      </c>
      <c r="B50" t="s">
        <v>1697</v>
      </c>
      <c r="C50">
        <v>67</v>
      </c>
      <c r="G50" s="47" t="s">
        <v>327</v>
      </c>
      <c r="H50" s="164"/>
      <c r="O50" s="157" t="s">
        <v>58</v>
      </c>
      <c r="P50" s="165"/>
      <c r="S50" s="51" t="s">
        <v>810</v>
      </c>
      <c r="MX50" t="s">
        <v>1287</v>
      </c>
      <c r="MY50" t="str">
        <f t="shared" si="4"/>
        <v>Base Cabinet with 2 Drawers</v>
      </c>
      <c r="MZ50">
        <v>1206</v>
      </c>
      <c r="NA50" t="str">
        <f t="shared" si="1"/>
        <v>21</v>
      </c>
      <c r="NB50" t="str">
        <f t="shared" si="2"/>
        <v>34</v>
      </c>
      <c r="NC50" t="str">
        <f t="shared" si="3"/>
        <v>24</v>
      </c>
    </row>
    <row r="51" spans="1:367">
      <c r="A51">
        <v>84600004</v>
      </c>
      <c r="B51" t="s">
        <v>1698</v>
      </c>
      <c r="C51">
        <v>67</v>
      </c>
      <c r="G51" s="47" t="s">
        <v>329</v>
      </c>
      <c r="H51" s="164"/>
      <c r="O51" s="157" t="s">
        <v>60</v>
      </c>
      <c r="P51" s="165"/>
      <c r="S51" s="51" t="s">
        <v>812</v>
      </c>
      <c r="MX51" t="s">
        <v>1289</v>
      </c>
      <c r="MY51" t="str">
        <f t="shared" si="4"/>
        <v>Base Cabinet with 2 Drawers</v>
      </c>
      <c r="MZ51">
        <v>1406</v>
      </c>
      <c r="NA51" t="str">
        <f t="shared" si="1"/>
        <v>23</v>
      </c>
      <c r="NB51" t="str">
        <f t="shared" si="2"/>
        <v>34</v>
      </c>
      <c r="NC51" t="str">
        <f t="shared" si="3"/>
        <v>24</v>
      </c>
    </row>
    <row r="52" spans="1:367">
      <c r="A52" t="s">
        <v>1699</v>
      </c>
      <c r="B52" t="s">
        <v>1700</v>
      </c>
      <c r="C52">
        <v>237</v>
      </c>
      <c r="G52" s="142" t="s">
        <v>383</v>
      </c>
      <c r="H52" s="165"/>
      <c r="O52" s="157" t="s">
        <v>62</v>
      </c>
      <c r="P52" s="165"/>
      <c r="S52" s="51" t="s">
        <v>814</v>
      </c>
      <c r="MX52" t="s">
        <v>1291</v>
      </c>
      <c r="MY52" t="str">
        <f t="shared" si="4"/>
        <v>Base Cabinet with 2 Drawers</v>
      </c>
      <c r="MZ52">
        <v>1432</v>
      </c>
      <c r="NA52" t="str">
        <f t="shared" si="1"/>
        <v>24</v>
      </c>
      <c r="NB52" t="str">
        <f t="shared" si="2"/>
        <v>34</v>
      </c>
      <c r="NC52" t="str">
        <f t="shared" si="3"/>
        <v>24</v>
      </c>
    </row>
    <row r="53" spans="1:367">
      <c r="A53" t="s">
        <v>848</v>
      </c>
      <c r="B53" t="s">
        <v>1701</v>
      </c>
      <c r="C53">
        <v>685</v>
      </c>
      <c r="G53" s="142" t="s">
        <v>381</v>
      </c>
      <c r="H53" s="165"/>
      <c r="O53" s="157" t="s">
        <v>64</v>
      </c>
      <c r="P53" s="165"/>
      <c r="S53" s="51" t="s">
        <v>816</v>
      </c>
      <c r="MX53" t="s">
        <v>1293</v>
      </c>
      <c r="MY53" t="str">
        <f t="shared" si="4"/>
        <v>Base Cabinet with 2 Drawers</v>
      </c>
      <c r="MZ53">
        <v>1458</v>
      </c>
      <c r="NA53" t="str">
        <f t="shared" si="1"/>
        <v>27</v>
      </c>
      <c r="NB53" t="str">
        <f t="shared" si="2"/>
        <v>34</v>
      </c>
      <c r="NC53" t="str">
        <f t="shared" si="3"/>
        <v>24</v>
      </c>
    </row>
    <row r="54" spans="1:367">
      <c r="A54" t="s">
        <v>852</v>
      </c>
      <c r="B54" t="s">
        <v>1702</v>
      </c>
      <c r="C54">
        <v>685</v>
      </c>
      <c r="G54" s="142" t="s">
        <v>385</v>
      </c>
      <c r="H54" s="165"/>
      <c r="O54" s="157" t="s">
        <v>76</v>
      </c>
      <c r="P54" s="165"/>
      <c r="S54" s="51" t="s">
        <v>818</v>
      </c>
      <c r="MX54" t="s">
        <v>1295</v>
      </c>
      <c r="MY54" t="str">
        <f t="shared" si="4"/>
        <v>Base Cabinet with 2 Drawers</v>
      </c>
      <c r="MZ54">
        <v>1479</v>
      </c>
      <c r="NA54" t="str">
        <f t="shared" si="1"/>
        <v>30</v>
      </c>
      <c r="NB54" t="str">
        <f t="shared" si="2"/>
        <v>34</v>
      </c>
      <c r="NC54" t="str">
        <f t="shared" si="3"/>
        <v>24</v>
      </c>
    </row>
    <row r="55" spans="1:367">
      <c r="A55" t="s">
        <v>1058</v>
      </c>
      <c r="B55" t="s">
        <v>1703</v>
      </c>
      <c r="C55">
        <v>685</v>
      </c>
      <c r="G55" s="142" t="s">
        <v>387</v>
      </c>
      <c r="H55" s="165"/>
      <c r="O55" s="157" t="s">
        <v>66</v>
      </c>
      <c r="P55" s="164"/>
      <c r="S55" s="51" t="s">
        <v>820</v>
      </c>
      <c r="MX55" t="s">
        <v>1297</v>
      </c>
      <c r="MY55" t="str">
        <f t="shared" si="4"/>
        <v>Base Cabinet with 2 Drawers</v>
      </c>
      <c r="MZ55">
        <v>1504</v>
      </c>
      <c r="NA55" t="str">
        <f t="shared" si="1"/>
        <v>33</v>
      </c>
      <c r="NB55" t="str">
        <f t="shared" si="2"/>
        <v>34</v>
      </c>
      <c r="NC55" t="str">
        <f t="shared" si="3"/>
        <v>24</v>
      </c>
    </row>
    <row r="56" spans="1:367">
      <c r="A56" t="s">
        <v>1064</v>
      </c>
      <c r="B56" t="s">
        <v>1704</v>
      </c>
      <c r="C56">
        <v>685</v>
      </c>
      <c r="G56" s="142" t="s">
        <v>389</v>
      </c>
      <c r="H56" s="165"/>
      <c r="O56" s="157" t="s">
        <v>68</v>
      </c>
      <c r="P56" s="164"/>
      <c r="S56" s="51" t="s">
        <v>822</v>
      </c>
      <c r="MX56" t="s">
        <v>1299</v>
      </c>
      <c r="MY56" t="str">
        <f t="shared" si="4"/>
        <v>Base Cabinet with 2 Drawers</v>
      </c>
      <c r="MZ56">
        <v>1525</v>
      </c>
      <c r="NA56" t="str">
        <f t="shared" si="1"/>
        <v>36</v>
      </c>
      <c r="NB56" t="str">
        <f t="shared" si="2"/>
        <v>34</v>
      </c>
      <c r="NC56" t="str">
        <f t="shared" si="3"/>
        <v>24</v>
      </c>
    </row>
    <row r="57" spans="1:367">
      <c r="A57" t="s">
        <v>1705</v>
      </c>
      <c r="B57" t="s">
        <v>1706</v>
      </c>
      <c r="C57">
        <v>165</v>
      </c>
      <c r="G57" s="142" t="s">
        <v>393</v>
      </c>
      <c r="H57" s="165"/>
      <c r="O57" s="157" t="s">
        <v>70</v>
      </c>
      <c r="P57" s="164"/>
      <c r="S57" s="51" t="s">
        <v>824</v>
      </c>
      <c r="MX57" t="s">
        <v>1307</v>
      </c>
      <c r="MY57" t="str">
        <f t="shared" si="4"/>
        <v>Base Cabinet with 3 Drawers</v>
      </c>
      <c r="MZ57">
        <v>1612</v>
      </c>
      <c r="NA57" t="str">
        <f t="shared" si="1"/>
        <v>15</v>
      </c>
      <c r="NB57" t="str">
        <f t="shared" si="2"/>
        <v>34</v>
      </c>
      <c r="NC57" t="str">
        <f t="shared" si="3"/>
        <v>24</v>
      </c>
    </row>
    <row r="58" spans="1:367">
      <c r="A58" t="s">
        <v>1707</v>
      </c>
      <c r="B58" t="s">
        <v>1708</v>
      </c>
      <c r="C58">
        <v>474</v>
      </c>
      <c r="G58" s="142" t="s">
        <v>391</v>
      </c>
      <c r="H58" s="165"/>
      <c r="O58" s="157" t="s">
        <v>72</v>
      </c>
      <c r="P58" s="164"/>
      <c r="S58" s="51" t="s">
        <v>826</v>
      </c>
      <c r="MX58" s="11" t="s">
        <v>1309</v>
      </c>
      <c r="MY58" t="str">
        <f t="shared" ref="MY58:MY110" si="5">IF(ISERROR(VLOOKUP(IF(ISNUMBER(VALUE(RIGHT(LEFT(MX58,3),1))),IF(ISNUMBER(VALUE(RIGHT(LEFT(MX58,2),1))),LEFT(MX58,1),LEFT(MX58,2)),LEFT(MX58,3)),NE:NF,2,FALSE)),"",VLOOKUP(IF(ISNUMBER(VALUE(RIGHT(LEFT(MX58,3),1))),IF(ISNUMBER(VALUE(RIGHT(LEFT(MX58,2),1))),LEFT(MX58,1),LEFT(MX58,2)),LEFT(MX58,3)),NE:NF,2,FALSE))</f>
        <v>Base Cabinet with 3 Drawers</v>
      </c>
      <c r="MZ58">
        <f>VLOOKUP(MX58,'2013 Belmont Retail Pricing'!A:C,3,FALSE)</f>
        <v>1633</v>
      </c>
      <c r="NA58" t="str">
        <f t="shared" si="1"/>
        <v>18</v>
      </c>
      <c r="NB58" t="str">
        <f t="shared" ref="NB58:NB71" si="6">IF(ISNUMBER(VALUE(RIGHT(MX58,1))),RIGHT(LEFT(RIGHT(MX58,7),4),2),LEFT(RIGHT(MX58,6),2))</f>
        <v>34</v>
      </c>
      <c r="NC58" t="str">
        <f t="shared" ref="NC58:NC71" si="7">IF(ISNUMBER(VALUE(RIGHT(MX58,1))),RIGHT(MX58,2),LEFT(RIGHT(MX58,3),2))</f>
        <v>24</v>
      </c>
    </row>
    <row r="59" spans="1:367">
      <c r="A59" t="s">
        <v>1110</v>
      </c>
      <c r="B59" t="s">
        <v>1795</v>
      </c>
      <c r="C59">
        <v>263</v>
      </c>
      <c r="G59" s="142" t="s">
        <v>10</v>
      </c>
      <c r="H59" s="165"/>
      <c r="O59" s="158" t="s">
        <v>50</v>
      </c>
      <c r="P59" s="164"/>
      <c r="S59" s="51" t="s">
        <v>828</v>
      </c>
      <c r="MX59" s="11" t="s">
        <v>1311</v>
      </c>
      <c r="MY59" t="str">
        <f t="shared" si="5"/>
        <v>Base Cabinet with 3 Drawers</v>
      </c>
      <c r="MZ59">
        <f>VLOOKUP(MX59,'2013 Belmont Retail Pricing'!A:C,3,FALSE)</f>
        <v>1659</v>
      </c>
      <c r="NA59" t="str">
        <f t="shared" si="1"/>
        <v>21</v>
      </c>
      <c r="NB59" t="str">
        <f t="shared" si="6"/>
        <v>34</v>
      </c>
      <c r="NC59" t="str">
        <f t="shared" si="7"/>
        <v>24</v>
      </c>
    </row>
    <row r="60" spans="1:367">
      <c r="A60" t="s">
        <v>1135</v>
      </c>
      <c r="B60" t="s">
        <v>1796</v>
      </c>
      <c r="C60">
        <v>433</v>
      </c>
      <c r="G60" s="142" t="s">
        <v>396</v>
      </c>
      <c r="H60" s="165"/>
      <c r="O60" s="158" t="s">
        <v>52</v>
      </c>
      <c r="P60" s="164"/>
      <c r="S60" s="51" t="s">
        <v>830</v>
      </c>
      <c r="MX60" s="11" t="s">
        <v>1313</v>
      </c>
      <c r="MY60" t="str">
        <f t="shared" si="5"/>
        <v>Base Cabinet with 3 Drawers</v>
      </c>
      <c r="MZ60">
        <f>VLOOKUP(MX60,'2013 Belmont Retail Pricing'!A:C,3,FALSE)</f>
        <v>1679</v>
      </c>
      <c r="NA60" t="str">
        <f t="shared" si="1"/>
        <v>24</v>
      </c>
      <c r="NB60" t="str">
        <f t="shared" si="6"/>
        <v>34</v>
      </c>
      <c r="NC60" t="str">
        <f t="shared" si="7"/>
        <v>24</v>
      </c>
    </row>
    <row r="61" spans="1:367">
      <c r="A61" t="s">
        <v>1220</v>
      </c>
      <c r="B61" t="s">
        <v>1798</v>
      </c>
      <c r="C61">
        <v>644</v>
      </c>
      <c r="G61" s="142" t="s">
        <v>398</v>
      </c>
      <c r="H61" s="165"/>
      <c r="O61" s="158" t="s">
        <v>54</v>
      </c>
      <c r="P61" s="164"/>
      <c r="S61" s="51" t="s">
        <v>832</v>
      </c>
      <c r="MX61" s="11" t="s">
        <v>1315</v>
      </c>
      <c r="MY61" t="str">
        <f t="shared" si="5"/>
        <v>Base Cabinet with 3 Drawers</v>
      </c>
      <c r="MZ61">
        <f>VLOOKUP(MX61,'2013 Belmont Retail Pricing'!A:C,3,FALSE)</f>
        <v>1710</v>
      </c>
      <c r="NA61" t="str">
        <f t="shared" si="1"/>
        <v>27</v>
      </c>
      <c r="NB61" t="str">
        <f t="shared" si="6"/>
        <v>34</v>
      </c>
      <c r="NC61" t="str">
        <f t="shared" si="7"/>
        <v>24</v>
      </c>
    </row>
    <row r="62" spans="1:367">
      <c r="A62" t="s">
        <v>1227</v>
      </c>
      <c r="B62" t="s">
        <v>1800</v>
      </c>
      <c r="C62">
        <v>644</v>
      </c>
      <c r="G62" s="142" t="s">
        <v>400</v>
      </c>
      <c r="H62" s="165"/>
      <c r="O62" s="158" t="s">
        <v>56</v>
      </c>
      <c r="P62" s="164"/>
      <c r="S62" s="51" t="s">
        <v>834</v>
      </c>
      <c r="MX62" s="11" t="s">
        <v>1317</v>
      </c>
      <c r="MY62" t="str">
        <f t="shared" si="5"/>
        <v>Base Cabinet with 3 Drawers</v>
      </c>
      <c r="MZ62">
        <f>VLOOKUP(MX62,'2013 Belmont Retail Pricing'!A:C,3,FALSE)</f>
        <v>1731</v>
      </c>
      <c r="NA62" t="str">
        <f t="shared" si="1"/>
        <v>30</v>
      </c>
      <c r="NB62" t="str">
        <f t="shared" si="6"/>
        <v>34</v>
      </c>
      <c r="NC62" t="str">
        <f t="shared" si="7"/>
        <v>24</v>
      </c>
    </row>
    <row r="63" spans="1:367">
      <c r="A63" t="s">
        <v>1078</v>
      </c>
      <c r="B63" t="s">
        <v>1801</v>
      </c>
      <c r="C63">
        <v>47</v>
      </c>
      <c r="G63" s="47" t="s">
        <v>373</v>
      </c>
      <c r="H63" s="164"/>
      <c r="O63" s="158" t="s">
        <v>42</v>
      </c>
      <c r="S63" s="51" t="s">
        <v>836</v>
      </c>
      <c r="MX63" s="11" t="s">
        <v>1319</v>
      </c>
      <c r="MY63" t="str">
        <f t="shared" si="5"/>
        <v>Base Cabinet with 3 Drawers</v>
      </c>
      <c r="MZ63">
        <f>VLOOKUP(MX63,'2013 Belmont Retail Pricing'!A:C,3,FALSE)</f>
        <v>1751</v>
      </c>
      <c r="NA63" t="str">
        <f t="shared" si="1"/>
        <v>33</v>
      </c>
      <c r="NB63" t="str">
        <f t="shared" si="6"/>
        <v>34</v>
      </c>
      <c r="NC63" t="str">
        <f t="shared" si="7"/>
        <v>24</v>
      </c>
    </row>
    <row r="64" spans="1:367">
      <c r="A64" t="s">
        <v>1216</v>
      </c>
      <c r="B64" t="s">
        <v>1217</v>
      </c>
      <c r="C64">
        <v>62</v>
      </c>
      <c r="G64" s="47" t="s">
        <v>375</v>
      </c>
      <c r="H64" s="164"/>
      <c r="O64" s="158" t="s">
        <v>44</v>
      </c>
      <c r="S64" s="51" t="s">
        <v>838</v>
      </c>
      <c r="MX64" s="11" t="s">
        <v>1321</v>
      </c>
      <c r="MY64" t="str">
        <f t="shared" si="5"/>
        <v>Base Cabinet with 3 Drawers</v>
      </c>
      <c r="MZ64">
        <f>VLOOKUP(MX64,'2013 Belmont Retail Pricing'!A:C,3,FALSE)</f>
        <v>1777</v>
      </c>
      <c r="NA64" t="str">
        <f t="shared" si="1"/>
        <v>36</v>
      </c>
      <c r="NB64" t="str">
        <f t="shared" si="6"/>
        <v>34</v>
      </c>
      <c r="NC64" t="str">
        <f t="shared" si="7"/>
        <v>24</v>
      </c>
    </row>
    <row r="65" spans="1:367">
      <c r="A65" t="s">
        <v>1076</v>
      </c>
      <c r="B65" t="s">
        <v>1803</v>
      </c>
      <c r="C65">
        <v>691</v>
      </c>
      <c r="G65" s="47" t="s">
        <v>377</v>
      </c>
      <c r="H65" s="164"/>
      <c r="O65" s="158" t="s">
        <v>46</v>
      </c>
      <c r="S65" s="51" t="s">
        <v>840</v>
      </c>
      <c r="MX65" s="11" t="s">
        <v>1323</v>
      </c>
      <c r="MY65" t="str">
        <f t="shared" si="5"/>
        <v>Base Cabinet with 4 Drawers</v>
      </c>
      <c r="MZ65">
        <f>VLOOKUP(MX65,'2013 Belmont Retail Pricing'!A:C,3,FALSE)</f>
        <v>1891</v>
      </c>
      <c r="NA65" t="str">
        <f t="shared" si="1"/>
        <v>15</v>
      </c>
      <c r="NB65" t="str">
        <f t="shared" si="6"/>
        <v>34</v>
      </c>
      <c r="NC65" t="str">
        <f t="shared" si="7"/>
        <v>24</v>
      </c>
    </row>
    <row r="66" spans="1:367">
      <c r="A66" t="s">
        <v>1017</v>
      </c>
      <c r="B66" t="s">
        <v>1018</v>
      </c>
      <c r="C66">
        <v>109</v>
      </c>
      <c r="G66" s="47" t="s">
        <v>379</v>
      </c>
      <c r="H66" s="164"/>
      <c r="O66" s="158" t="s">
        <v>48</v>
      </c>
      <c r="S66" s="11" t="s">
        <v>842</v>
      </c>
      <c r="MX66" s="11" t="s">
        <v>1325</v>
      </c>
      <c r="MY66" t="str">
        <f t="shared" si="5"/>
        <v>Base Cabinet with 4 Drawers</v>
      </c>
      <c r="MZ66">
        <f>VLOOKUP(MX66,'2013 Belmont Retail Pricing'!A:C,3,FALSE)</f>
        <v>1911</v>
      </c>
      <c r="NA66" t="str">
        <f t="shared" si="1"/>
        <v>18</v>
      </c>
      <c r="NB66" t="str">
        <f t="shared" si="6"/>
        <v>34</v>
      </c>
      <c r="NC66" t="str">
        <f t="shared" si="7"/>
        <v>24</v>
      </c>
    </row>
    <row r="67" spans="1:367">
      <c r="A67" t="s">
        <v>1019</v>
      </c>
      <c r="B67" t="s">
        <v>1842</v>
      </c>
      <c r="C67">
        <v>335</v>
      </c>
      <c r="G67" s="142" t="s">
        <v>402</v>
      </c>
      <c r="H67" s="165"/>
      <c r="S67" s="11" t="s">
        <v>846</v>
      </c>
      <c r="MX67" s="11" t="s">
        <v>1327</v>
      </c>
      <c r="MY67" t="str">
        <f t="shared" si="5"/>
        <v>Base Cabinet with 4 Drawers</v>
      </c>
      <c r="MZ67">
        <f>VLOOKUP(MX67,'2013 Belmont Retail Pricing'!A:C,3,FALSE)</f>
        <v>1932</v>
      </c>
      <c r="NA67" t="str">
        <f t="shared" si="1"/>
        <v>21</v>
      </c>
      <c r="NB67" t="str">
        <f t="shared" si="6"/>
        <v>34</v>
      </c>
      <c r="NC67" t="str">
        <f t="shared" si="7"/>
        <v>24</v>
      </c>
    </row>
    <row r="68" spans="1:367">
      <c r="A68" t="s">
        <v>1020</v>
      </c>
      <c r="B68" t="s">
        <v>1021</v>
      </c>
      <c r="C68">
        <v>52</v>
      </c>
      <c r="G68" s="142" t="s">
        <v>404</v>
      </c>
      <c r="H68" s="165"/>
      <c r="S68" s="11" t="s">
        <v>848</v>
      </c>
      <c r="MX68" s="11" t="s">
        <v>1329</v>
      </c>
      <c r="MY68" t="str">
        <f t="shared" si="5"/>
        <v>Base Cabinet with 4 Drawers</v>
      </c>
      <c r="MZ68">
        <f>VLOOKUP(MX68,'2013 Belmont Retail Pricing'!A:C,3,FALSE)</f>
        <v>1957</v>
      </c>
      <c r="NA68" t="str">
        <f t="shared" ref="NA68:NA102" si="8">IF(LEFT(MX68,1)="W",LEFT(RIGHT(MX68,4),2),IF(ISNUMBER(VALUE(RIGHT(MX68,1))),LEFT(RIGHT(MX68,7),2),LEFT(RIGHT(MX68,8),2)))</f>
        <v>24</v>
      </c>
      <c r="NB68" t="str">
        <f t="shared" si="6"/>
        <v>34</v>
      </c>
      <c r="NC68" t="str">
        <f t="shared" si="7"/>
        <v>24</v>
      </c>
    </row>
    <row r="69" spans="1:367">
      <c r="A69" t="s">
        <v>1025</v>
      </c>
      <c r="B69" t="s">
        <v>1026</v>
      </c>
      <c r="C69">
        <v>52</v>
      </c>
      <c r="G69" s="11" t="s">
        <v>1395</v>
      </c>
      <c r="H69" s="42"/>
      <c r="S69" s="11" t="s">
        <v>844</v>
      </c>
      <c r="MX69" s="11" t="s">
        <v>1331</v>
      </c>
      <c r="MY69" t="str">
        <f t="shared" si="5"/>
        <v>Base Cabinet with 4 Drawers</v>
      </c>
      <c r="MZ69">
        <f>VLOOKUP(MX69,'2013 Belmont Retail Pricing'!A:C,3,FALSE)</f>
        <v>1973</v>
      </c>
      <c r="NA69" t="str">
        <f t="shared" si="8"/>
        <v>27</v>
      </c>
      <c r="NB69" t="str">
        <f t="shared" si="6"/>
        <v>34</v>
      </c>
      <c r="NC69" t="str">
        <f t="shared" si="7"/>
        <v>24</v>
      </c>
    </row>
    <row r="70" spans="1:367">
      <c r="A70" t="s">
        <v>1070</v>
      </c>
      <c r="B70" t="s">
        <v>1072</v>
      </c>
      <c r="C70">
        <v>299</v>
      </c>
      <c r="G70" s="11" t="s">
        <v>1397</v>
      </c>
      <c r="H70" s="42"/>
      <c r="S70" s="51" t="s">
        <v>850</v>
      </c>
      <c r="MX70" s="11" t="s">
        <v>1333</v>
      </c>
      <c r="MY70" t="str">
        <f t="shared" si="5"/>
        <v>Base Cabinet with 4 Drawers</v>
      </c>
      <c r="MZ70">
        <f>VLOOKUP(MX70,'2013 Belmont Retail Pricing'!A:C,3,FALSE)</f>
        <v>2004</v>
      </c>
      <c r="NA70" t="str">
        <f t="shared" si="8"/>
        <v>30</v>
      </c>
      <c r="NB70" t="str">
        <f t="shared" si="6"/>
        <v>34</v>
      </c>
      <c r="NC70" t="str">
        <f t="shared" si="7"/>
        <v>24</v>
      </c>
    </row>
    <row r="71" spans="1:367">
      <c r="A71" t="s">
        <v>1088</v>
      </c>
      <c r="B71" t="s">
        <v>1858</v>
      </c>
      <c r="C71">
        <v>47</v>
      </c>
      <c r="G71" s="11" t="s">
        <v>1399</v>
      </c>
      <c r="H71" s="42"/>
      <c r="S71" s="11" t="s">
        <v>852</v>
      </c>
      <c r="MX71" s="11" t="s">
        <v>1335</v>
      </c>
      <c r="MY71" t="str">
        <f t="shared" si="5"/>
        <v>Base Cabinet with 4 Drawers</v>
      </c>
      <c r="MZ71">
        <f>VLOOKUP(MX71,'2013 Belmont Retail Pricing'!A:C,3,FALSE)</f>
        <v>2024</v>
      </c>
      <c r="NA71" t="str">
        <f t="shared" si="8"/>
        <v>33</v>
      </c>
      <c r="NB71" t="str">
        <f t="shared" si="6"/>
        <v>34</v>
      </c>
      <c r="NC71" t="str">
        <f t="shared" si="7"/>
        <v>24</v>
      </c>
    </row>
    <row r="72" spans="1:367">
      <c r="A72" t="s">
        <v>1090</v>
      </c>
      <c r="B72" t="s">
        <v>1857</v>
      </c>
      <c r="C72">
        <v>47</v>
      </c>
      <c r="G72" s="11" t="s">
        <v>1401</v>
      </c>
      <c r="H72" s="42"/>
      <c r="S72" s="51" t="s">
        <v>854</v>
      </c>
      <c r="MX72" s="11" t="s">
        <v>1337</v>
      </c>
      <c r="MY72" t="str">
        <f t="shared" si="5"/>
        <v>Base Cabinet with 4 Drawers</v>
      </c>
      <c r="MZ72">
        <f>VLOOKUP(MX72,'2013 Belmont Retail Pricing'!A:C,3,FALSE)</f>
        <v>2050</v>
      </c>
      <c r="NA72" t="str">
        <f t="shared" si="8"/>
        <v>36</v>
      </c>
      <c r="NB72" t="str">
        <f>IF(ISNUMBER(VALUE(RIGHT(MX72,1))),RIGHT(LEFT(RIGHT(MX72,7),4),2),LEFT(RIGHT(MX72,6),2))</f>
        <v>34</v>
      </c>
      <c r="NC72" t="str">
        <f>IF(ISNUMBER(VALUE(RIGHT(MX72,1))),RIGHT(MX72,2),LEFT(RIGHT(MX72,3),2))</f>
        <v>24</v>
      </c>
    </row>
    <row r="73" spans="1:367">
      <c r="A73" t="s">
        <v>1093</v>
      </c>
      <c r="B73" t="s">
        <v>871</v>
      </c>
      <c r="C73">
        <v>26</v>
      </c>
      <c r="G73" s="11" t="s">
        <v>1403</v>
      </c>
      <c r="H73" s="42"/>
      <c r="S73" s="68" t="s">
        <v>856</v>
      </c>
      <c r="MX73" s="11" t="s">
        <v>1339</v>
      </c>
      <c r="MY73" t="str">
        <f t="shared" si="5"/>
        <v>Base Cabinet with 5 Drawers</v>
      </c>
      <c r="MZ73">
        <f>VLOOKUP(MX73,'2013 Belmont Retail Pricing'!A:C,3,FALSE)</f>
        <v>2153</v>
      </c>
      <c r="NA73" t="str">
        <f t="shared" si="8"/>
        <v>15</v>
      </c>
      <c r="NB73" t="str">
        <f t="shared" ref="NB73:NB102" si="9">IF(ISNUMBER(VALUE(RIGHT(MX73,1))),RIGHT(LEFT(RIGHT(MX73,7),4),2),LEFT(RIGHT(MX73,6),2))</f>
        <v>34</v>
      </c>
      <c r="NC73" t="str">
        <f t="shared" ref="NC73:NC102" si="10">IF(ISNUMBER(VALUE(RIGHT(MX73,1))),RIGHT(MX73,2),LEFT(RIGHT(MX73,3),2))</f>
        <v>24</v>
      </c>
    </row>
    <row r="74" spans="1:367">
      <c r="A74" t="s">
        <v>1126</v>
      </c>
      <c r="B74" t="s">
        <v>1869</v>
      </c>
      <c r="C74">
        <v>783</v>
      </c>
      <c r="G74" s="11" t="s">
        <v>1405</v>
      </c>
      <c r="H74" s="42"/>
      <c r="S74" s="51" t="s">
        <v>858</v>
      </c>
      <c r="MX74" s="11" t="s">
        <v>1341</v>
      </c>
      <c r="MY74" t="str">
        <f t="shared" si="5"/>
        <v>Base Cabinet with 5 Drawers</v>
      </c>
      <c r="MZ74">
        <f>VLOOKUP(MX74,'2013 Belmont Retail Pricing'!A:C,3,FALSE)</f>
        <v>2179</v>
      </c>
      <c r="NA74" t="str">
        <f t="shared" si="8"/>
        <v>18</v>
      </c>
      <c r="NB74" t="str">
        <f t="shared" si="9"/>
        <v>34</v>
      </c>
      <c r="NC74" t="str">
        <f t="shared" si="10"/>
        <v>24</v>
      </c>
    </row>
    <row r="75" spans="1:367">
      <c r="A75" t="s">
        <v>1151</v>
      </c>
      <c r="B75" t="s">
        <v>1870</v>
      </c>
      <c r="C75">
        <v>974</v>
      </c>
      <c r="G75" s="11" t="s">
        <v>1407</v>
      </c>
      <c r="H75" s="42"/>
      <c r="S75" s="51" t="s">
        <v>860</v>
      </c>
      <c r="MX75" s="11" t="s">
        <v>1343</v>
      </c>
      <c r="MY75" t="str">
        <f t="shared" si="5"/>
        <v>Base Cabinet with 5 Drawers</v>
      </c>
      <c r="MZ75">
        <f>VLOOKUP(MX75,'2013 Belmont Retail Pricing'!A:C,3,FALSE)</f>
        <v>2210</v>
      </c>
      <c r="NA75" t="str">
        <f t="shared" si="8"/>
        <v>21</v>
      </c>
      <c r="NB75" t="str">
        <f t="shared" si="9"/>
        <v>34</v>
      </c>
      <c r="NC75" t="str">
        <f t="shared" si="10"/>
        <v>24</v>
      </c>
    </row>
    <row r="76" spans="1:367">
      <c r="A76" t="s">
        <v>1241</v>
      </c>
      <c r="B76" t="s">
        <v>1000</v>
      </c>
      <c r="C76">
        <v>237</v>
      </c>
      <c r="G76" s="11" t="s">
        <v>1409</v>
      </c>
      <c r="H76" s="42"/>
      <c r="S76" s="51" t="s">
        <v>862</v>
      </c>
      <c r="MX76" s="11" t="s">
        <v>1345</v>
      </c>
      <c r="MY76" t="str">
        <f t="shared" si="5"/>
        <v>Base Cabinet with 5 Drawers</v>
      </c>
      <c r="MZ76">
        <f>VLOOKUP(MX76,'2013 Belmont Retail Pricing'!A:C,3,FALSE)</f>
        <v>2230</v>
      </c>
      <c r="NA76" t="str">
        <f t="shared" si="8"/>
        <v>24</v>
      </c>
      <c r="NB76" t="str">
        <f t="shared" si="9"/>
        <v>34</v>
      </c>
      <c r="NC76" t="str">
        <f t="shared" si="10"/>
        <v>24</v>
      </c>
    </row>
    <row r="77" spans="1:367">
      <c r="A77" t="s">
        <v>1240</v>
      </c>
      <c r="B77" t="s">
        <v>1861</v>
      </c>
      <c r="C77">
        <v>284</v>
      </c>
      <c r="G77" s="11" t="s">
        <v>1411</v>
      </c>
      <c r="H77" s="42"/>
      <c r="S77" s="51" t="s">
        <v>864</v>
      </c>
      <c r="MX77" s="11" t="s">
        <v>1347</v>
      </c>
      <c r="MY77" t="str">
        <f t="shared" si="5"/>
        <v>Base Cabinet with 5 Drawers</v>
      </c>
      <c r="MZ77">
        <f>VLOOKUP(MX77,'2013 Belmont Retail Pricing'!A:C,3,FALSE)</f>
        <v>2251</v>
      </c>
      <c r="NA77" t="str">
        <f t="shared" si="8"/>
        <v>27</v>
      </c>
      <c r="NB77" t="str">
        <f t="shared" si="9"/>
        <v>34</v>
      </c>
      <c r="NC77" t="str">
        <f t="shared" si="10"/>
        <v>24</v>
      </c>
    </row>
    <row r="78" spans="1:367">
      <c r="A78" t="s">
        <v>1243</v>
      </c>
      <c r="B78" t="s">
        <v>1862</v>
      </c>
      <c r="C78">
        <v>212</v>
      </c>
      <c r="G78" s="11" t="s">
        <v>1413</v>
      </c>
      <c r="H78" s="42"/>
      <c r="S78" s="51" t="s">
        <v>866</v>
      </c>
      <c r="MX78" s="11" t="s">
        <v>1349</v>
      </c>
      <c r="MY78" t="str">
        <f t="shared" si="5"/>
        <v>Base Cabinet with 5 Drawers</v>
      </c>
      <c r="MZ78">
        <f>VLOOKUP(MX78,'2013 Belmont Retail Pricing'!A:C,3,FALSE)</f>
        <v>2277</v>
      </c>
      <c r="NA78" t="str">
        <f t="shared" si="8"/>
        <v>30</v>
      </c>
      <c r="NB78" t="str">
        <f t="shared" si="9"/>
        <v>34</v>
      </c>
      <c r="NC78" t="str">
        <f t="shared" si="10"/>
        <v>24</v>
      </c>
    </row>
    <row r="79" spans="1:367">
      <c r="A79" t="s">
        <v>1245</v>
      </c>
      <c r="B79" t="s">
        <v>1850</v>
      </c>
      <c r="C79">
        <v>88</v>
      </c>
      <c r="G79" s="11" t="s">
        <v>1415</v>
      </c>
      <c r="H79" s="42"/>
      <c r="S79" s="51" t="s">
        <v>868</v>
      </c>
      <c r="MX79" s="11" t="s">
        <v>1351</v>
      </c>
      <c r="MY79" t="str">
        <f t="shared" si="5"/>
        <v>Base Cabinet with 5 Drawers</v>
      </c>
      <c r="MZ79">
        <f>VLOOKUP(MX79,'2013 Belmont Retail Pricing'!A:C,3,FALSE)</f>
        <v>2297</v>
      </c>
      <c r="NA79" t="str">
        <f t="shared" si="8"/>
        <v>33</v>
      </c>
      <c r="NB79" t="str">
        <f t="shared" si="9"/>
        <v>34</v>
      </c>
      <c r="NC79" t="str">
        <f t="shared" si="10"/>
        <v>24</v>
      </c>
    </row>
    <row r="80" spans="1:367">
      <c r="A80" t="s">
        <v>1248</v>
      </c>
      <c r="B80" t="s">
        <v>1863</v>
      </c>
      <c r="C80">
        <v>88</v>
      </c>
      <c r="G80" s="11" t="s">
        <v>1417</v>
      </c>
      <c r="H80" s="42"/>
      <c r="S80" s="51" t="s">
        <v>870</v>
      </c>
      <c r="MX80" s="11" t="s">
        <v>1353</v>
      </c>
      <c r="MY80" t="str">
        <f t="shared" si="5"/>
        <v>Base Cabinet with 5 Drawers</v>
      </c>
      <c r="MZ80">
        <f>VLOOKUP(MX80,'2013 Belmont Retail Pricing'!A:C,3,FALSE)</f>
        <v>2323</v>
      </c>
      <c r="NA80" t="str">
        <f t="shared" si="8"/>
        <v>36</v>
      </c>
      <c r="NB80" t="str">
        <f t="shared" si="9"/>
        <v>34</v>
      </c>
      <c r="NC80" t="str">
        <f t="shared" si="10"/>
        <v>24</v>
      </c>
    </row>
    <row r="81" spans="1:367">
      <c r="A81" t="s">
        <v>1247</v>
      </c>
      <c r="B81" t="s">
        <v>1864</v>
      </c>
      <c r="C81">
        <v>454</v>
      </c>
      <c r="G81" s="11" t="s">
        <v>1419</v>
      </c>
      <c r="H81" s="42"/>
      <c r="S81" s="51" t="s">
        <v>872</v>
      </c>
      <c r="MX81" s="82" t="s">
        <v>1433</v>
      </c>
      <c r="MY81" t="str">
        <f t="shared" si="5"/>
        <v>Wall Cabinet</v>
      </c>
      <c r="MZ81">
        <f>VLOOKUP(MX81,'2013 Belmont Retail Pricing'!A:C,3,FALSE)</f>
        <v>490</v>
      </c>
      <c r="NA81" t="str">
        <f t="shared" si="8"/>
        <v>12</v>
      </c>
      <c r="NB81" t="str">
        <f t="shared" si="9"/>
        <v>22</v>
      </c>
      <c r="NC81" t="str">
        <f t="shared" si="10"/>
        <v>24</v>
      </c>
    </row>
    <row r="82" spans="1:367">
      <c r="A82" t="s">
        <v>1250</v>
      </c>
      <c r="B82" t="s">
        <v>1865</v>
      </c>
      <c r="C82">
        <v>608</v>
      </c>
      <c r="G82" s="11" t="s">
        <v>1421</v>
      </c>
      <c r="H82" s="42"/>
      <c r="S82" s="11" t="s">
        <v>874</v>
      </c>
      <c r="MX82" s="82" t="s">
        <v>1437</v>
      </c>
      <c r="MY82" t="str">
        <f t="shared" si="5"/>
        <v>Wall Cabinet</v>
      </c>
      <c r="MZ82">
        <f>VLOOKUP(MX82,'2013 Belmont Retail Pricing'!A:C,3,FALSE)</f>
        <v>500</v>
      </c>
      <c r="NA82" t="str">
        <f t="shared" si="8"/>
        <v>15</v>
      </c>
      <c r="NB82" t="str">
        <f t="shared" si="9"/>
        <v>52</v>
      </c>
      <c r="NC82" t="str">
        <f t="shared" si="10"/>
        <v>24</v>
      </c>
    </row>
    <row r="83" spans="1:367">
      <c r="A83" t="s">
        <v>1075</v>
      </c>
      <c r="B83" t="s">
        <v>1849</v>
      </c>
      <c r="C83">
        <v>706</v>
      </c>
      <c r="G83" s="11" t="s">
        <v>1423</v>
      </c>
      <c r="H83" s="42"/>
      <c r="S83" s="51" t="s">
        <v>876</v>
      </c>
      <c r="MX83" s="82" t="s">
        <v>1441</v>
      </c>
      <c r="MY83" t="str">
        <f t="shared" si="5"/>
        <v>Wall Cabinet</v>
      </c>
      <c r="MZ83">
        <f>VLOOKUP(MX83,'2013 Belmont Retail Pricing'!A:C,3,FALSE)</f>
        <v>521</v>
      </c>
      <c r="NA83" t="str">
        <f t="shared" si="8"/>
        <v>18</v>
      </c>
      <c r="NB83" t="str">
        <f t="shared" si="9"/>
        <v>82</v>
      </c>
      <c r="NC83" t="str">
        <f t="shared" si="10"/>
        <v>24</v>
      </c>
    </row>
    <row r="84" spans="1:367">
      <c r="A84" t="s">
        <v>1866</v>
      </c>
      <c r="B84" t="s">
        <v>1867</v>
      </c>
      <c r="C84">
        <v>788</v>
      </c>
      <c r="G84" s="11" t="s">
        <v>1425</v>
      </c>
      <c r="H84" s="42"/>
      <c r="S84" s="11" t="s">
        <v>878</v>
      </c>
      <c r="MX84" s="82" t="s">
        <v>1445</v>
      </c>
      <c r="MY84" t="str">
        <f t="shared" si="5"/>
        <v>Wall Cabinet</v>
      </c>
      <c r="MZ84">
        <f>VLOOKUP(MX84,'2013 Belmont Retail Pricing'!A:C,3,FALSE)</f>
        <v>531</v>
      </c>
      <c r="NA84" t="str">
        <f t="shared" si="8"/>
        <v>20</v>
      </c>
      <c r="NB84" t="str">
        <f t="shared" si="9"/>
        <v>02</v>
      </c>
      <c r="NC84" t="str">
        <f t="shared" si="10"/>
        <v>24</v>
      </c>
    </row>
    <row r="85" spans="1:367">
      <c r="A85" t="s">
        <v>1107</v>
      </c>
      <c r="B85" t="s">
        <v>1868</v>
      </c>
      <c r="C85">
        <v>237</v>
      </c>
      <c r="G85" s="11" t="s">
        <v>1427</v>
      </c>
      <c r="H85" s="42"/>
      <c r="S85" s="11" t="s">
        <v>880</v>
      </c>
      <c r="MX85" s="82" t="s">
        <v>1449</v>
      </c>
      <c r="MY85" t="str">
        <f t="shared" si="5"/>
        <v>Wall Cabinet</v>
      </c>
      <c r="MZ85">
        <f>VLOOKUP(MX85,'2013 Belmont Retail Pricing'!A:C,3,FALSE)</f>
        <v>541</v>
      </c>
      <c r="NA85" t="str">
        <f t="shared" si="8"/>
        <v>22</v>
      </c>
      <c r="NB85" t="str">
        <f t="shared" si="9"/>
        <v>22</v>
      </c>
      <c r="NC85" t="str">
        <f t="shared" si="10"/>
        <v>24</v>
      </c>
    </row>
    <row r="86" spans="1:367">
      <c r="A86" t="s">
        <v>112</v>
      </c>
      <c r="B86" t="s">
        <v>1853</v>
      </c>
      <c r="C86">
        <v>3595</v>
      </c>
      <c r="G86" s="11" t="s">
        <v>1429</v>
      </c>
      <c r="H86" s="42"/>
      <c r="S86" s="11" t="s">
        <v>882</v>
      </c>
      <c r="MX86" s="82" t="s">
        <v>1435</v>
      </c>
      <c r="MY86" t="str">
        <f t="shared" si="5"/>
        <v>Wall Cabinet</v>
      </c>
      <c r="MZ86">
        <f>VLOOKUP(MX86,'2013 Belmont Retail Pricing'!A:C,3,FALSE)</f>
        <v>500</v>
      </c>
      <c r="NA86" t="str">
        <f t="shared" si="8"/>
        <v>12</v>
      </c>
      <c r="NB86" t="str">
        <f t="shared" si="9"/>
        <v>23</v>
      </c>
      <c r="NC86" t="str">
        <f t="shared" si="10"/>
        <v>30</v>
      </c>
    </row>
    <row r="87" spans="1:367">
      <c r="A87" t="s">
        <v>114</v>
      </c>
      <c r="B87" t="s">
        <v>1854</v>
      </c>
      <c r="C87">
        <v>2488</v>
      </c>
      <c r="G87" s="11" t="s">
        <v>1431</v>
      </c>
      <c r="H87" s="42"/>
      <c r="S87" s="11" t="s">
        <v>884</v>
      </c>
      <c r="MX87" s="82" t="s">
        <v>1439</v>
      </c>
      <c r="MY87" t="str">
        <f t="shared" si="5"/>
        <v>Wall Cabinet</v>
      </c>
      <c r="MZ87">
        <f>VLOOKUP(MX87,'2013 Belmont Retail Pricing'!A:C,3,FALSE)</f>
        <v>521</v>
      </c>
      <c r="NA87" t="str">
        <f t="shared" si="8"/>
        <v>15</v>
      </c>
      <c r="NB87" t="str">
        <f t="shared" si="9"/>
        <v>53</v>
      </c>
      <c r="NC87" t="str">
        <f t="shared" si="10"/>
        <v>30</v>
      </c>
    </row>
    <row r="88" spans="1:367">
      <c r="A88" t="s">
        <v>748</v>
      </c>
      <c r="B88" t="s">
        <v>1855</v>
      </c>
      <c r="C88">
        <v>109</v>
      </c>
      <c r="G88" s="11" t="s">
        <v>1433</v>
      </c>
      <c r="H88" s="42"/>
      <c r="S88" s="11" t="s">
        <v>886</v>
      </c>
      <c r="MX88" s="82" t="s">
        <v>1443</v>
      </c>
      <c r="MY88" t="str">
        <f t="shared" si="5"/>
        <v>Wall Cabinet</v>
      </c>
      <c r="MZ88">
        <f>VLOOKUP(MX88,'2013 Belmont Retail Pricing'!A:C,3,FALSE)</f>
        <v>531</v>
      </c>
      <c r="NA88" t="str">
        <f t="shared" si="8"/>
        <v>18</v>
      </c>
      <c r="NB88" t="str">
        <f t="shared" si="9"/>
        <v>83</v>
      </c>
      <c r="NC88" t="str">
        <f t="shared" si="10"/>
        <v>30</v>
      </c>
    </row>
    <row r="89" spans="1:367">
      <c r="A89" t="s">
        <v>448</v>
      </c>
      <c r="B89" t="s">
        <v>447</v>
      </c>
      <c r="C89">
        <v>114</v>
      </c>
      <c r="G89" s="11" t="s">
        <v>1435</v>
      </c>
      <c r="H89" s="42"/>
      <c r="S89" s="11" t="s">
        <v>888</v>
      </c>
      <c r="MX89" s="82" t="s">
        <v>1447</v>
      </c>
      <c r="MY89" t="str">
        <f t="shared" si="5"/>
        <v>Wall Cabinet</v>
      </c>
      <c r="MZ89">
        <f>VLOOKUP(MX89,'2013 Belmont Retail Pricing'!A:C,3,FALSE)</f>
        <v>541</v>
      </c>
      <c r="NA89" t="str">
        <f t="shared" si="8"/>
        <v>20</v>
      </c>
      <c r="NB89" t="str">
        <f t="shared" si="9"/>
        <v>03</v>
      </c>
      <c r="NC89" t="str">
        <f t="shared" si="10"/>
        <v>30</v>
      </c>
    </row>
    <row r="90" spans="1:367">
      <c r="A90" t="s">
        <v>752</v>
      </c>
      <c r="B90" t="s">
        <v>1856</v>
      </c>
      <c r="C90">
        <v>304</v>
      </c>
      <c r="G90" s="11" t="s">
        <v>1437</v>
      </c>
      <c r="H90" s="42"/>
      <c r="S90" s="11" t="s">
        <v>890</v>
      </c>
      <c r="MX90" s="82" t="s">
        <v>1451</v>
      </c>
      <c r="MY90" t="str">
        <f t="shared" si="5"/>
        <v>Wall Cabinet</v>
      </c>
      <c r="MZ90">
        <f>VLOOKUP(MX90,'2013 Belmont Retail Pricing'!A:C,3,FALSE)</f>
        <v>552</v>
      </c>
      <c r="NA90" t="str">
        <f t="shared" si="8"/>
        <v>22</v>
      </c>
      <c r="NB90" t="str">
        <f t="shared" si="9"/>
        <v>23</v>
      </c>
      <c r="NC90" t="str">
        <f t="shared" si="10"/>
        <v>30</v>
      </c>
    </row>
    <row r="91" spans="1:367">
      <c r="A91" t="s">
        <v>1182</v>
      </c>
      <c r="B91" t="s">
        <v>954</v>
      </c>
      <c r="C91">
        <v>232</v>
      </c>
      <c r="G91" s="11" t="s">
        <v>1439</v>
      </c>
      <c r="H91" s="42"/>
      <c r="S91" s="11" t="s">
        <v>892</v>
      </c>
      <c r="MX91" s="82" t="s">
        <v>1453</v>
      </c>
      <c r="MY91" t="str">
        <f t="shared" si="5"/>
        <v>Wall Cabinet</v>
      </c>
      <c r="MZ91">
        <f>VLOOKUP(MX91,'2013 Belmont Retail Pricing'!A:C,3,FALSE)</f>
        <v>696</v>
      </c>
      <c r="NA91" t="str">
        <f t="shared" si="8"/>
        <v>23</v>
      </c>
      <c r="NB91" t="str">
        <f t="shared" si="9"/>
        <v>32</v>
      </c>
      <c r="NC91" t="str">
        <f t="shared" si="10"/>
        <v>24</v>
      </c>
    </row>
    <row r="92" spans="1:367">
      <c r="A92" t="s">
        <v>1183</v>
      </c>
      <c r="B92" t="s">
        <v>1871</v>
      </c>
      <c r="C92">
        <v>562</v>
      </c>
      <c r="G92" s="11" t="s">
        <v>1441</v>
      </c>
      <c r="H92" s="42"/>
      <c r="S92" s="11" t="s">
        <v>894</v>
      </c>
      <c r="MX92" s="82" t="s">
        <v>1457</v>
      </c>
      <c r="MY92" t="str">
        <f t="shared" si="5"/>
        <v>Wall Cabinet</v>
      </c>
      <c r="MZ92">
        <f>VLOOKUP(MX92,'2013 Belmont Retail Pricing'!A:C,3,FALSE)</f>
        <v>721</v>
      </c>
      <c r="NA92" t="str">
        <f t="shared" si="8"/>
        <v>24</v>
      </c>
      <c r="NB92" t="str">
        <f t="shared" si="9"/>
        <v>42</v>
      </c>
      <c r="NC92" t="str">
        <f t="shared" si="10"/>
        <v>24</v>
      </c>
    </row>
    <row r="93" spans="1:367">
      <c r="A93" t="s">
        <v>1184</v>
      </c>
      <c r="B93" t="s">
        <v>1872</v>
      </c>
      <c r="C93">
        <v>783</v>
      </c>
      <c r="G93" s="11" t="s">
        <v>1443</v>
      </c>
      <c r="H93" s="42"/>
      <c r="S93" s="11" t="s">
        <v>896</v>
      </c>
      <c r="MX93" s="82" t="s">
        <v>1461</v>
      </c>
      <c r="MY93" t="str">
        <f t="shared" si="5"/>
        <v>Wall Cabinet</v>
      </c>
      <c r="MZ93">
        <f>VLOOKUP(MX93,'2013 Belmont Retail Pricing'!A:C,3,FALSE)</f>
        <v>721</v>
      </c>
      <c r="NA93" t="str">
        <f t="shared" si="8"/>
        <v>27</v>
      </c>
      <c r="NB93" t="str">
        <f t="shared" si="9"/>
        <v>72</v>
      </c>
      <c r="NC93" t="str">
        <f t="shared" si="10"/>
        <v>24</v>
      </c>
    </row>
    <row r="94" spans="1:367">
      <c r="A94" t="s">
        <v>1186</v>
      </c>
      <c r="B94" t="s">
        <v>1873</v>
      </c>
      <c r="C94">
        <v>552</v>
      </c>
      <c r="G94" s="11" t="s">
        <v>1445</v>
      </c>
      <c r="H94" s="42"/>
      <c r="S94" s="51" t="s">
        <v>898</v>
      </c>
      <c r="MX94" s="82" t="s">
        <v>1465</v>
      </c>
      <c r="MY94" t="str">
        <f t="shared" si="5"/>
        <v>Wall Cabinet</v>
      </c>
      <c r="MZ94">
        <f>VLOOKUP(MX94,'2013 Belmont Retail Pricing'!A:C,3,FALSE)</f>
        <v>732</v>
      </c>
      <c r="NA94" t="str">
        <f t="shared" si="8"/>
        <v>30</v>
      </c>
      <c r="NB94" t="str">
        <f t="shared" si="9"/>
        <v>02</v>
      </c>
      <c r="NC94" t="str">
        <f t="shared" si="10"/>
        <v>24</v>
      </c>
    </row>
    <row r="95" spans="1:367">
      <c r="A95" t="s">
        <v>1188</v>
      </c>
      <c r="B95" t="s">
        <v>1874</v>
      </c>
      <c r="C95">
        <v>783</v>
      </c>
      <c r="G95" s="11" t="s">
        <v>1447</v>
      </c>
      <c r="H95" s="42"/>
      <c r="S95" s="51" t="s">
        <v>900</v>
      </c>
      <c r="MX95" s="82" t="s">
        <v>1469</v>
      </c>
      <c r="MY95" t="str">
        <f t="shared" si="5"/>
        <v>Wall Cabinet</v>
      </c>
      <c r="MZ95">
        <f>VLOOKUP(MX95,'2013 Belmont Retail Pricing'!A:C,3,FALSE)</f>
        <v>742</v>
      </c>
      <c r="NA95" t="str">
        <f t="shared" si="8"/>
        <v>33</v>
      </c>
      <c r="NB95" t="str">
        <f t="shared" si="9"/>
        <v>32</v>
      </c>
      <c r="NC95" t="str">
        <f t="shared" si="10"/>
        <v>24</v>
      </c>
    </row>
    <row r="96" spans="1:367">
      <c r="A96" t="s">
        <v>1190</v>
      </c>
      <c r="B96" t="s">
        <v>1875</v>
      </c>
      <c r="C96">
        <v>783</v>
      </c>
      <c r="G96" s="15" t="s">
        <v>1449</v>
      </c>
      <c r="H96" s="42"/>
      <c r="S96" s="51" t="s">
        <v>902</v>
      </c>
      <c r="MX96" s="82" t="s">
        <v>1473</v>
      </c>
      <c r="MY96" t="str">
        <f t="shared" si="5"/>
        <v>Wall Cabinet</v>
      </c>
      <c r="MZ96">
        <f>VLOOKUP(MX96,'2013 Belmont Retail Pricing'!A:C,3,FALSE)</f>
        <v>752</v>
      </c>
      <c r="NA96" t="str">
        <f t="shared" si="8"/>
        <v>36</v>
      </c>
      <c r="NB96" t="str">
        <f t="shared" si="9"/>
        <v>62</v>
      </c>
      <c r="NC96" t="str">
        <f t="shared" si="10"/>
        <v>24</v>
      </c>
    </row>
    <row r="97" spans="1:367">
      <c r="A97" t="s">
        <v>1191</v>
      </c>
      <c r="B97" t="s">
        <v>1876</v>
      </c>
      <c r="C97">
        <v>783</v>
      </c>
      <c r="G97" s="15" t="s">
        <v>1451</v>
      </c>
      <c r="H97" s="42"/>
      <c r="S97" s="51" t="s">
        <v>904</v>
      </c>
      <c r="MX97" s="82" t="s">
        <v>1455</v>
      </c>
      <c r="MY97" t="str">
        <f t="shared" si="5"/>
        <v>Wall Cabinet</v>
      </c>
      <c r="MZ97">
        <f>VLOOKUP(MX97,'2013 Belmont Retail Pricing'!A:C,3,FALSE)</f>
        <v>721</v>
      </c>
      <c r="NA97" t="str">
        <f t="shared" si="8"/>
        <v>23</v>
      </c>
      <c r="NB97" t="str">
        <f t="shared" si="9"/>
        <v>33</v>
      </c>
      <c r="NC97" t="str">
        <f t="shared" si="10"/>
        <v>30</v>
      </c>
    </row>
    <row r="98" spans="1:367">
      <c r="A98" t="s">
        <v>1114</v>
      </c>
      <c r="B98" t="s">
        <v>1809</v>
      </c>
      <c r="C98">
        <v>933</v>
      </c>
      <c r="G98" s="15" t="s">
        <v>1453</v>
      </c>
      <c r="H98" s="42"/>
      <c r="S98" s="51" t="s">
        <v>906</v>
      </c>
      <c r="MX98" s="82" t="s">
        <v>1459</v>
      </c>
      <c r="MY98" t="str">
        <f t="shared" si="5"/>
        <v>Wall Cabinet</v>
      </c>
      <c r="MZ98">
        <f>VLOOKUP(MX98,'2013 Belmont Retail Pricing'!A:C,3,FALSE)</f>
        <v>732</v>
      </c>
      <c r="NA98" t="str">
        <f t="shared" si="8"/>
        <v>24</v>
      </c>
      <c r="NB98" t="str">
        <f t="shared" si="9"/>
        <v>43</v>
      </c>
      <c r="NC98" t="str">
        <f t="shared" si="10"/>
        <v>30</v>
      </c>
    </row>
    <row r="99" spans="1:367">
      <c r="A99" t="s">
        <v>1139</v>
      </c>
      <c r="B99" t="s">
        <v>1811</v>
      </c>
      <c r="C99">
        <v>1633</v>
      </c>
      <c r="G99" s="15" t="s">
        <v>1455</v>
      </c>
      <c r="H99" s="42"/>
      <c r="S99" s="51" t="s">
        <v>908</v>
      </c>
      <c r="MX99" s="82" t="s">
        <v>1463</v>
      </c>
      <c r="MY99" t="str">
        <f t="shared" si="5"/>
        <v>Wall Cabinet</v>
      </c>
      <c r="MZ99">
        <f>VLOOKUP(MX99,'2013 Belmont Retail Pricing'!A:C,3,FALSE)</f>
        <v>742</v>
      </c>
      <c r="NA99" t="str">
        <f t="shared" si="8"/>
        <v>27</v>
      </c>
      <c r="NB99" t="str">
        <f t="shared" si="9"/>
        <v>73</v>
      </c>
      <c r="NC99" t="str">
        <f t="shared" si="10"/>
        <v>30</v>
      </c>
    </row>
    <row r="100" spans="1:367">
      <c r="A100" t="s">
        <v>1231</v>
      </c>
      <c r="B100" t="s">
        <v>1804</v>
      </c>
      <c r="C100">
        <v>88</v>
      </c>
      <c r="G100" s="11" t="s">
        <v>1457</v>
      </c>
      <c r="H100" s="42"/>
      <c r="S100" s="51" t="s">
        <v>910</v>
      </c>
      <c r="MX100" s="82" t="s">
        <v>1467</v>
      </c>
      <c r="MY100" t="str">
        <f t="shared" si="5"/>
        <v>Wall Cabinet</v>
      </c>
      <c r="MZ100">
        <f>VLOOKUP(MX100,'2013 Belmont Retail Pricing'!A:C,3,FALSE)</f>
        <v>752</v>
      </c>
      <c r="NA100" t="str">
        <f t="shared" si="8"/>
        <v>30</v>
      </c>
      <c r="NB100" t="str">
        <f t="shared" si="9"/>
        <v>03</v>
      </c>
      <c r="NC100" t="str">
        <f t="shared" si="10"/>
        <v>30</v>
      </c>
    </row>
    <row r="101" spans="1:367">
      <c r="A101" t="s">
        <v>1031</v>
      </c>
      <c r="B101" t="s">
        <v>1805</v>
      </c>
      <c r="C101">
        <v>232</v>
      </c>
      <c r="G101" s="15" t="s">
        <v>1459</v>
      </c>
      <c r="H101" s="42"/>
      <c r="S101" s="51" t="s">
        <v>912</v>
      </c>
      <c r="MX101" s="82" t="s">
        <v>1471</v>
      </c>
      <c r="MY101" t="str">
        <f t="shared" si="5"/>
        <v>Wall Cabinet</v>
      </c>
      <c r="MZ101">
        <f>VLOOKUP(MX101,'2013 Belmont Retail Pricing'!A:C,3,FALSE)</f>
        <v>763</v>
      </c>
      <c r="NA101" t="str">
        <f t="shared" si="8"/>
        <v>33</v>
      </c>
      <c r="NB101" t="str">
        <f t="shared" si="9"/>
        <v>33</v>
      </c>
      <c r="NC101" t="str">
        <f t="shared" si="10"/>
        <v>30</v>
      </c>
    </row>
    <row r="102" spans="1:367">
      <c r="A102" t="s">
        <v>1196</v>
      </c>
      <c r="B102" t="s">
        <v>972</v>
      </c>
      <c r="C102">
        <v>0</v>
      </c>
      <c r="G102" s="15" t="s">
        <v>1461</v>
      </c>
      <c r="H102" s="42"/>
      <c r="S102" s="51" t="s">
        <v>914</v>
      </c>
      <c r="MX102" s="82" t="s">
        <v>1475</v>
      </c>
      <c r="MY102" t="str">
        <f t="shared" si="5"/>
        <v>Wall Cabinet</v>
      </c>
      <c r="MZ102">
        <f>VLOOKUP(MX102,'2013 Belmont Retail Pricing'!A:C,3,FALSE)</f>
        <v>773</v>
      </c>
      <c r="NA102" t="str">
        <f t="shared" si="8"/>
        <v>36</v>
      </c>
      <c r="NB102" t="str">
        <f t="shared" si="9"/>
        <v>63</v>
      </c>
      <c r="NC102" t="str">
        <f t="shared" si="10"/>
        <v>30</v>
      </c>
    </row>
    <row r="103" spans="1:367">
      <c r="A103" t="s">
        <v>1168</v>
      </c>
      <c r="B103" t="s">
        <v>1806</v>
      </c>
      <c r="C103">
        <v>361</v>
      </c>
      <c r="G103" s="15" t="s">
        <v>1463</v>
      </c>
      <c r="H103" s="42"/>
      <c r="S103" s="51" t="s">
        <v>916</v>
      </c>
      <c r="MX103" s="82" t="s">
        <v>1361</v>
      </c>
      <c r="MY103" t="str">
        <f t="shared" si="5"/>
        <v>Blind Corner Wall Cabinet</v>
      </c>
      <c r="MZ103">
        <f>VLOOKUP(MX103,'2013 Belmont Retail Pricing'!A:C,3,FALSE)</f>
        <v>721</v>
      </c>
      <c r="NA103">
        <v>30</v>
      </c>
      <c r="NB103">
        <v>24</v>
      </c>
      <c r="NC103">
        <v>14</v>
      </c>
    </row>
    <row r="104" spans="1:367">
      <c r="A104" t="s">
        <v>1198</v>
      </c>
      <c r="B104" t="s">
        <v>1786</v>
      </c>
      <c r="C104">
        <v>325</v>
      </c>
      <c r="G104" s="15" t="s">
        <v>1465</v>
      </c>
      <c r="H104" s="42"/>
      <c r="S104" s="51" t="s">
        <v>918</v>
      </c>
      <c r="MX104" s="82" t="s">
        <v>1369</v>
      </c>
      <c r="MY104" t="str">
        <f t="shared" si="5"/>
        <v>Blind Corner Wall Cabinet</v>
      </c>
      <c r="MZ104">
        <f>VLOOKUP(MX104,'2013 Belmont Retail Pricing'!A:C,3,FALSE)</f>
        <v>732</v>
      </c>
      <c r="NA104">
        <v>33</v>
      </c>
      <c r="NB104">
        <v>24</v>
      </c>
      <c r="NC104">
        <v>14</v>
      </c>
    </row>
    <row r="105" spans="1:367">
      <c r="A105" t="s">
        <v>1194</v>
      </c>
      <c r="B105" t="s">
        <v>1807</v>
      </c>
      <c r="C105">
        <v>433</v>
      </c>
      <c r="G105" s="15" t="s">
        <v>1467</v>
      </c>
      <c r="H105" s="42"/>
      <c r="S105" s="51" t="s">
        <v>920</v>
      </c>
      <c r="MX105" s="82" t="s">
        <v>1377</v>
      </c>
      <c r="MY105" t="str">
        <f t="shared" si="5"/>
        <v>Blind Corner Wall Cabinet</v>
      </c>
      <c r="MZ105">
        <f>VLOOKUP(MX105,'2013 Belmont Retail Pricing'!A:C,3,FALSE)</f>
        <v>742</v>
      </c>
      <c r="NA105">
        <v>36</v>
      </c>
      <c r="NB105">
        <v>24</v>
      </c>
      <c r="NC105">
        <v>14</v>
      </c>
    </row>
    <row r="106" spans="1:367" ht="15.75" thickBot="1">
      <c r="A106" t="s">
        <v>1161</v>
      </c>
      <c r="B106" t="s">
        <v>1788</v>
      </c>
      <c r="C106">
        <v>-412</v>
      </c>
      <c r="G106" s="32" t="s">
        <v>1469</v>
      </c>
      <c r="H106" s="42"/>
      <c r="S106" s="51" t="s">
        <v>922</v>
      </c>
      <c r="MX106" s="82" t="s">
        <v>1365</v>
      </c>
      <c r="MY106" t="str">
        <f t="shared" si="5"/>
        <v>Blind Corner Wall Cabinet</v>
      </c>
      <c r="MZ106">
        <f>VLOOKUP(MX106,'2013 Belmont Retail Pricing'!A:C,3,FALSE)</f>
        <v>732</v>
      </c>
      <c r="NA106">
        <v>30</v>
      </c>
      <c r="NB106">
        <v>30</v>
      </c>
      <c r="NC106">
        <v>14</v>
      </c>
    </row>
    <row r="107" spans="1:367">
      <c r="A107" t="s">
        <v>1208</v>
      </c>
      <c r="B107" t="s">
        <v>1791</v>
      </c>
      <c r="C107">
        <v>433</v>
      </c>
      <c r="G107" s="82" t="s">
        <v>1471</v>
      </c>
      <c r="H107" s="42"/>
      <c r="S107" s="51" t="s">
        <v>924</v>
      </c>
      <c r="MX107" s="82" t="s">
        <v>1373</v>
      </c>
      <c r="MY107" t="str">
        <f t="shared" si="5"/>
        <v>Blind Corner Wall Cabinet</v>
      </c>
      <c r="MZ107">
        <f>VLOOKUP(MX107,'2013 Belmont Retail Pricing'!A:C,3,FALSE)</f>
        <v>742</v>
      </c>
      <c r="NA107">
        <v>33</v>
      </c>
      <c r="NB107">
        <v>30</v>
      </c>
      <c r="NC107">
        <v>14</v>
      </c>
    </row>
    <row r="108" spans="1:367">
      <c r="A108" t="s">
        <v>1204</v>
      </c>
      <c r="B108" t="s">
        <v>1792</v>
      </c>
      <c r="C108">
        <v>598</v>
      </c>
      <c r="G108" s="11" t="s">
        <v>1473</v>
      </c>
      <c r="H108" s="42"/>
      <c r="S108" s="51" t="s">
        <v>926</v>
      </c>
      <c r="MX108" s="82" t="s">
        <v>1381</v>
      </c>
      <c r="MY108" t="str">
        <f t="shared" si="5"/>
        <v>Blind Corner Wall Cabinet</v>
      </c>
      <c r="MZ108">
        <f>VLOOKUP(MX108,'2013 Belmont Retail Pricing'!A:C,3,FALSE)</f>
        <v>752</v>
      </c>
      <c r="NA108">
        <v>36</v>
      </c>
      <c r="NB108">
        <v>30</v>
      </c>
      <c r="NC108">
        <v>14</v>
      </c>
    </row>
    <row r="109" spans="1:367" ht="15.75" thickBot="1">
      <c r="A109" t="s">
        <v>1212</v>
      </c>
      <c r="B109" t="s">
        <v>1793</v>
      </c>
      <c r="C109">
        <v>907</v>
      </c>
      <c r="G109" s="34" t="s">
        <v>1475</v>
      </c>
      <c r="H109" s="42"/>
      <c r="S109" s="51" t="s">
        <v>928</v>
      </c>
      <c r="MX109" s="82" t="s">
        <v>1481</v>
      </c>
      <c r="MY109" t="str">
        <f t="shared" si="5"/>
        <v>Wall Tub &amp; Tray Storage Unit</v>
      </c>
      <c r="NA109">
        <v>29</v>
      </c>
      <c r="NB109">
        <v>24</v>
      </c>
      <c r="NC109">
        <v>14</v>
      </c>
    </row>
    <row r="110" spans="1:367">
      <c r="A110" t="s">
        <v>985</v>
      </c>
      <c r="B110" t="s">
        <v>1927</v>
      </c>
      <c r="C110">
        <v>634</v>
      </c>
      <c r="G110" s="112" t="s">
        <v>1477</v>
      </c>
      <c r="H110" s="42"/>
      <c r="S110" s="51" t="s">
        <v>929</v>
      </c>
      <c r="MX110" s="82" t="s">
        <v>1994</v>
      </c>
      <c r="MY110" t="str">
        <f t="shared" si="5"/>
        <v>Wall Tub &amp; Tray Storage Unit</v>
      </c>
      <c r="NA110">
        <v>28</v>
      </c>
      <c r="NB110">
        <v>24</v>
      </c>
      <c r="NC110">
        <v>10</v>
      </c>
    </row>
    <row r="111" spans="1:367" ht="15.75" thickBot="1">
      <c r="A111" t="s">
        <v>987</v>
      </c>
      <c r="B111" t="s">
        <v>1928</v>
      </c>
      <c r="C111">
        <v>546</v>
      </c>
      <c r="G111" s="106" t="s">
        <v>1481</v>
      </c>
      <c r="H111" s="42"/>
      <c r="S111" s="51" t="s">
        <v>931</v>
      </c>
    </row>
    <row r="112" spans="1:367">
      <c r="A112" t="s">
        <v>862</v>
      </c>
      <c r="B112" t="s">
        <v>867</v>
      </c>
      <c r="C112">
        <v>47</v>
      </c>
      <c r="G112" s="11" t="s">
        <v>1253</v>
      </c>
      <c r="S112" s="11" t="s">
        <v>933</v>
      </c>
    </row>
    <row r="113" spans="1:19">
      <c r="A113" t="s">
        <v>800</v>
      </c>
      <c r="B113" t="s">
        <v>1931</v>
      </c>
      <c r="C113">
        <v>2148</v>
      </c>
      <c r="G113" s="11" t="s">
        <v>1255</v>
      </c>
      <c r="S113" s="11" t="s">
        <v>935</v>
      </c>
    </row>
    <row r="114" spans="1:19">
      <c r="A114" t="s">
        <v>804</v>
      </c>
      <c r="B114" t="s">
        <v>1932</v>
      </c>
      <c r="C114">
        <v>1911</v>
      </c>
      <c r="G114" s="11" t="s">
        <v>1259</v>
      </c>
      <c r="S114" s="11" t="s">
        <v>937</v>
      </c>
    </row>
    <row r="115" spans="1:19">
      <c r="A115" t="s">
        <v>824</v>
      </c>
      <c r="B115" t="s">
        <v>1922</v>
      </c>
      <c r="C115">
        <v>294</v>
      </c>
      <c r="G115" s="11" t="s">
        <v>1261</v>
      </c>
      <c r="S115" s="51" t="s">
        <v>939</v>
      </c>
    </row>
    <row r="116" spans="1:19">
      <c r="A116" t="s">
        <v>836</v>
      </c>
      <c r="B116" t="s">
        <v>837</v>
      </c>
      <c r="C116">
        <v>948</v>
      </c>
      <c r="G116" s="11" t="s">
        <v>1263</v>
      </c>
      <c r="S116" s="51" t="s">
        <v>941</v>
      </c>
    </row>
    <row r="117" spans="1:19">
      <c r="A117" t="s">
        <v>204</v>
      </c>
      <c r="B117" t="s">
        <v>1818</v>
      </c>
      <c r="C117">
        <v>4120</v>
      </c>
      <c r="G117" s="11" t="s">
        <v>1265</v>
      </c>
      <c r="S117" s="51" t="s">
        <v>943</v>
      </c>
    </row>
    <row r="118" spans="1:19">
      <c r="A118" t="s">
        <v>846</v>
      </c>
      <c r="B118" t="s">
        <v>1936</v>
      </c>
      <c r="C118">
        <v>685</v>
      </c>
      <c r="G118" s="11" t="s">
        <v>1267</v>
      </c>
      <c r="S118" s="51" t="s">
        <v>945</v>
      </c>
    </row>
    <row r="119" spans="1:19">
      <c r="A119" t="s">
        <v>850</v>
      </c>
      <c r="B119" t="s">
        <v>1937</v>
      </c>
      <c r="C119">
        <v>685</v>
      </c>
      <c r="G119" s="11" t="s">
        <v>1269</v>
      </c>
      <c r="S119" s="51" t="s">
        <v>947</v>
      </c>
    </row>
    <row r="120" spans="1:19">
      <c r="A120" t="s">
        <v>1719</v>
      </c>
      <c r="B120" t="s">
        <v>1821</v>
      </c>
      <c r="C120">
        <v>2699</v>
      </c>
      <c r="G120" s="11" t="s">
        <v>1271</v>
      </c>
      <c r="S120" s="51" t="s">
        <v>949</v>
      </c>
    </row>
    <row r="121" spans="1:19">
      <c r="A121" t="s">
        <v>864</v>
      </c>
      <c r="B121" t="s">
        <v>1938</v>
      </c>
      <c r="C121">
        <v>47</v>
      </c>
      <c r="G121" s="11" t="s">
        <v>1273</v>
      </c>
      <c r="S121" s="51" t="s">
        <v>951</v>
      </c>
    </row>
    <row r="122" spans="1:19">
      <c r="A122" t="s">
        <v>929</v>
      </c>
      <c r="B122" t="s">
        <v>1939</v>
      </c>
      <c r="C122">
        <v>361</v>
      </c>
      <c r="G122" s="11" t="s">
        <v>1275</v>
      </c>
      <c r="S122" s="51" t="s">
        <v>953</v>
      </c>
    </row>
    <row r="123" spans="1:19">
      <c r="A123" t="s">
        <v>975</v>
      </c>
      <c r="B123" t="s">
        <v>1940</v>
      </c>
      <c r="C123">
        <v>490</v>
      </c>
      <c r="G123" s="11" t="s">
        <v>1257</v>
      </c>
      <c r="S123" s="51" t="s">
        <v>955</v>
      </c>
    </row>
    <row r="124" spans="1:19">
      <c r="A124" t="s">
        <v>969</v>
      </c>
      <c r="B124" t="s">
        <v>1941</v>
      </c>
      <c r="C124">
        <v>675</v>
      </c>
      <c r="G124" s="11" t="s">
        <v>1277</v>
      </c>
      <c r="S124" s="51" t="s">
        <v>956</v>
      </c>
    </row>
    <row r="125" spans="1:19">
      <c r="A125" t="s">
        <v>928</v>
      </c>
      <c r="B125" t="s">
        <v>1788</v>
      </c>
      <c r="C125">
        <v>-412</v>
      </c>
      <c r="G125" s="11" t="s">
        <v>1279</v>
      </c>
      <c r="S125" s="51" t="s">
        <v>957</v>
      </c>
    </row>
    <row r="126" spans="1:19">
      <c r="A126" t="s">
        <v>884</v>
      </c>
      <c r="B126" t="s">
        <v>1942</v>
      </c>
      <c r="C126">
        <v>1334</v>
      </c>
      <c r="G126" s="11" t="s">
        <v>1281</v>
      </c>
      <c r="S126" s="51" t="s">
        <v>959</v>
      </c>
    </row>
    <row r="127" spans="1:19">
      <c r="A127" t="s">
        <v>886</v>
      </c>
      <c r="B127" t="s">
        <v>1943</v>
      </c>
      <c r="C127">
        <v>866</v>
      </c>
      <c r="G127" s="11" t="s">
        <v>1283</v>
      </c>
      <c r="S127" s="51" t="s">
        <v>961</v>
      </c>
    </row>
    <row r="128" spans="1:19">
      <c r="A128" t="s">
        <v>908</v>
      </c>
      <c r="B128" t="s">
        <v>1944</v>
      </c>
      <c r="C128">
        <v>2163</v>
      </c>
      <c r="G128" s="11" t="s">
        <v>1285</v>
      </c>
      <c r="S128" s="51" t="s">
        <v>963</v>
      </c>
    </row>
    <row r="129" spans="1:19">
      <c r="A129" t="s">
        <v>910</v>
      </c>
      <c r="B129" t="s">
        <v>1945</v>
      </c>
      <c r="C129">
        <v>1535</v>
      </c>
      <c r="G129" s="11" t="s">
        <v>1287</v>
      </c>
      <c r="S129" s="51" t="s">
        <v>965</v>
      </c>
    </row>
    <row r="130" spans="1:19">
      <c r="A130" t="s">
        <v>937</v>
      </c>
      <c r="B130" t="s">
        <v>2039</v>
      </c>
      <c r="C130">
        <v>1484</v>
      </c>
      <c r="G130" s="11" t="s">
        <v>1289</v>
      </c>
      <c r="S130" s="51" t="s">
        <v>967</v>
      </c>
    </row>
    <row r="131" spans="1:19">
      <c r="A131" t="s">
        <v>941</v>
      </c>
      <c r="B131" t="s">
        <v>2040</v>
      </c>
      <c r="C131">
        <v>2431</v>
      </c>
      <c r="G131" s="11" t="s">
        <v>1291</v>
      </c>
      <c r="S131" s="51" t="s">
        <v>969</v>
      </c>
    </row>
    <row r="132" spans="1:19">
      <c r="A132" t="s">
        <v>977</v>
      </c>
      <c r="B132" t="s">
        <v>1792</v>
      </c>
      <c r="C132">
        <v>598</v>
      </c>
      <c r="G132" s="11" t="s">
        <v>1293</v>
      </c>
      <c r="S132" s="51" t="s">
        <v>971</v>
      </c>
    </row>
    <row r="133" spans="1:19">
      <c r="A133" t="s">
        <v>981</v>
      </c>
      <c r="B133" t="s">
        <v>1791</v>
      </c>
      <c r="C133">
        <v>438</v>
      </c>
      <c r="G133" s="11" t="s">
        <v>1295</v>
      </c>
      <c r="S133" s="51" t="s">
        <v>973</v>
      </c>
    </row>
    <row r="134" spans="1:19">
      <c r="A134" t="s">
        <v>997</v>
      </c>
      <c r="B134" t="s">
        <v>1861</v>
      </c>
      <c r="C134">
        <v>284</v>
      </c>
      <c r="G134" s="11" t="s">
        <v>1297</v>
      </c>
      <c r="S134" s="51" t="s">
        <v>975</v>
      </c>
    </row>
    <row r="135" spans="1:19">
      <c r="A135" t="s">
        <v>999</v>
      </c>
      <c r="B135" t="s">
        <v>1877</v>
      </c>
      <c r="C135">
        <v>237</v>
      </c>
      <c r="G135" s="11" t="s">
        <v>1299</v>
      </c>
      <c r="S135" s="68" t="s">
        <v>977</v>
      </c>
    </row>
    <row r="136" spans="1:19">
      <c r="A136" t="s">
        <v>1001</v>
      </c>
      <c r="B136" t="s">
        <v>2041</v>
      </c>
      <c r="C136">
        <v>217</v>
      </c>
      <c r="G136" s="11" t="s">
        <v>1301</v>
      </c>
      <c r="S136" s="68" t="s">
        <v>979</v>
      </c>
    </row>
    <row r="137" spans="1:19">
      <c r="A137" t="s">
        <v>1003</v>
      </c>
      <c r="B137" t="s">
        <v>1850</v>
      </c>
      <c r="C137">
        <v>88</v>
      </c>
      <c r="G137" s="11" t="s">
        <v>1303</v>
      </c>
      <c r="S137" s="68" t="s">
        <v>981</v>
      </c>
    </row>
    <row r="138" spans="1:19">
      <c r="A138" t="s">
        <v>876</v>
      </c>
      <c r="B138" t="s">
        <v>1851</v>
      </c>
      <c r="C138">
        <v>237</v>
      </c>
      <c r="G138" s="11" t="s">
        <v>1305</v>
      </c>
      <c r="S138" s="68" t="s">
        <v>983</v>
      </c>
    </row>
    <row r="139" spans="1:19">
      <c r="A139" t="s">
        <v>1005</v>
      </c>
      <c r="B139" t="s">
        <v>2042</v>
      </c>
      <c r="C139">
        <v>454</v>
      </c>
      <c r="G139" s="11" t="s">
        <v>1307</v>
      </c>
      <c r="S139" s="51" t="s">
        <v>985</v>
      </c>
    </row>
    <row r="140" spans="1:19">
      <c r="A140" t="s">
        <v>1007</v>
      </c>
      <c r="B140" t="s">
        <v>2043</v>
      </c>
      <c r="C140">
        <v>608</v>
      </c>
      <c r="G140" s="11" t="s">
        <v>1309</v>
      </c>
      <c r="S140" s="51" t="s">
        <v>987</v>
      </c>
    </row>
    <row r="141" spans="1:19">
      <c r="A141" t="s">
        <v>935</v>
      </c>
      <c r="B141" t="s">
        <v>2038</v>
      </c>
      <c r="C141">
        <v>1901</v>
      </c>
      <c r="G141" s="11" t="s">
        <v>1311</v>
      </c>
      <c r="S141" s="51" t="s">
        <v>989</v>
      </c>
    </row>
    <row r="142" spans="1:19">
      <c r="A142" t="s">
        <v>939</v>
      </c>
      <c r="B142" t="s">
        <v>2037</v>
      </c>
      <c r="C142">
        <v>3219</v>
      </c>
      <c r="G142" s="11" t="s">
        <v>1313</v>
      </c>
      <c r="S142" s="51" t="s">
        <v>991</v>
      </c>
    </row>
    <row r="143" spans="1:19">
      <c r="A143" t="s">
        <v>979</v>
      </c>
      <c r="B143" t="s">
        <v>1890</v>
      </c>
      <c r="C143">
        <v>1190</v>
      </c>
      <c r="G143" s="11" t="s">
        <v>1315</v>
      </c>
      <c r="S143" s="51" t="s">
        <v>993</v>
      </c>
    </row>
    <row r="144" spans="1:19">
      <c r="A144" t="s">
        <v>983</v>
      </c>
      <c r="B144" t="s">
        <v>1889</v>
      </c>
      <c r="C144">
        <v>866</v>
      </c>
      <c r="G144" s="11" t="s">
        <v>1317</v>
      </c>
      <c r="S144" s="68" t="s">
        <v>995</v>
      </c>
    </row>
    <row r="145" spans="1:19">
      <c r="A145" t="s">
        <v>894</v>
      </c>
      <c r="B145" t="s">
        <v>2036</v>
      </c>
      <c r="C145">
        <v>1216</v>
      </c>
      <c r="G145" s="11" t="s">
        <v>1319</v>
      </c>
      <c r="S145" s="51" t="s">
        <v>997</v>
      </c>
    </row>
    <row r="146" spans="1:19">
      <c r="A146" t="s">
        <v>918</v>
      </c>
      <c r="B146" t="s">
        <v>2035</v>
      </c>
      <c r="C146">
        <v>1834</v>
      </c>
      <c r="G146" s="11" t="s">
        <v>1321</v>
      </c>
      <c r="S146" s="51" t="s">
        <v>999</v>
      </c>
    </row>
    <row r="147" spans="1:19">
      <c r="A147" t="s">
        <v>808</v>
      </c>
      <c r="B147" t="s">
        <v>1996</v>
      </c>
      <c r="C147">
        <v>237</v>
      </c>
      <c r="G147" s="11" t="s">
        <v>1323</v>
      </c>
      <c r="S147" s="51" t="s">
        <v>1001</v>
      </c>
    </row>
    <row r="148" spans="1:19">
      <c r="A148" t="s">
        <v>1009</v>
      </c>
      <c r="B148" t="s">
        <v>2002</v>
      </c>
      <c r="C148">
        <v>361</v>
      </c>
      <c r="G148" s="11" t="s">
        <v>1325</v>
      </c>
      <c r="S148" s="51" t="s">
        <v>1003</v>
      </c>
    </row>
    <row r="149" spans="1:19">
      <c r="A149" t="s">
        <v>810</v>
      </c>
      <c r="B149" t="s">
        <v>811</v>
      </c>
      <c r="C149">
        <v>52</v>
      </c>
      <c r="G149" s="11" t="s">
        <v>1327</v>
      </c>
      <c r="S149" s="51" t="s">
        <v>1005</v>
      </c>
    </row>
    <row r="150" spans="1:19">
      <c r="A150" t="s">
        <v>816</v>
      </c>
      <c r="B150" t="s">
        <v>817</v>
      </c>
      <c r="C150">
        <v>52</v>
      </c>
      <c r="G150" s="11" t="s">
        <v>1329</v>
      </c>
      <c r="S150" s="72" t="s">
        <v>1007</v>
      </c>
    </row>
    <row r="151" spans="1:19">
      <c r="A151" t="s">
        <v>840</v>
      </c>
      <c r="B151" t="s">
        <v>2003</v>
      </c>
      <c r="C151">
        <v>624</v>
      </c>
      <c r="G151" s="11" t="s">
        <v>1331</v>
      </c>
      <c r="S151" s="73" t="s">
        <v>1009</v>
      </c>
    </row>
    <row r="152" spans="1:19">
      <c r="A152" t="s">
        <v>858</v>
      </c>
      <c r="B152" t="s">
        <v>2004</v>
      </c>
      <c r="C152">
        <v>346</v>
      </c>
      <c r="G152" s="11" t="s">
        <v>1333</v>
      </c>
      <c r="S152" s="72" t="s">
        <v>1011</v>
      </c>
    </row>
    <row r="153" spans="1:19">
      <c r="A153" t="s">
        <v>868</v>
      </c>
      <c r="B153" t="s">
        <v>2005</v>
      </c>
      <c r="C153">
        <v>47</v>
      </c>
      <c r="G153" s="11" t="s">
        <v>1335</v>
      </c>
      <c r="S153" s="51" t="s">
        <v>1013</v>
      </c>
    </row>
    <row r="154" spans="1:19">
      <c r="A154" t="s">
        <v>870</v>
      </c>
      <c r="B154" t="s">
        <v>2029</v>
      </c>
      <c r="C154">
        <v>26</v>
      </c>
      <c r="G154" s="11" t="s">
        <v>1337</v>
      </c>
      <c r="S154" s="51" t="s">
        <v>1015</v>
      </c>
    </row>
    <row r="155" spans="1:19">
      <c r="A155" t="s">
        <v>892</v>
      </c>
      <c r="B155" t="s">
        <v>2031</v>
      </c>
      <c r="C155">
        <v>1175</v>
      </c>
      <c r="G155" s="51" t="s">
        <v>432</v>
      </c>
      <c r="S155" s="11" t="s">
        <v>1017</v>
      </c>
    </row>
    <row r="156" spans="1:19">
      <c r="A156" t="s">
        <v>916</v>
      </c>
      <c r="B156" t="s">
        <v>2034</v>
      </c>
      <c r="C156">
        <v>1638</v>
      </c>
      <c r="G156" s="51" t="s">
        <v>434</v>
      </c>
      <c r="S156" s="11" t="s">
        <v>1019</v>
      </c>
    </row>
    <row r="157" spans="1:19">
      <c r="A157" t="s">
        <v>943</v>
      </c>
      <c r="B157" t="s">
        <v>944</v>
      </c>
      <c r="C157">
        <v>454</v>
      </c>
      <c r="G157" s="51" t="s">
        <v>436</v>
      </c>
      <c r="S157" s="51" t="s">
        <v>1020</v>
      </c>
    </row>
    <row r="158" spans="1:19">
      <c r="A158" t="s">
        <v>945</v>
      </c>
      <c r="B158" t="s">
        <v>2044</v>
      </c>
      <c r="C158">
        <v>243</v>
      </c>
      <c r="G158" s="11" t="s">
        <v>1339</v>
      </c>
      <c r="S158" s="51" t="s">
        <v>1022</v>
      </c>
    </row>
    <row r="159" spans="1:19">
      <c r="A159" t="s">
        <v>947</v>
      </c>
      <c r="B159" t="s">
        <v>1871</v>
      </c>
      <c r="C159">
        <v>407</v>
      </c>
      <c r="G159" s="11" t="s">
        <v>1341</v>
      </c>
      <c r="S159" s="51" t="s">
        <v>1023</v>
      </c>
    </row>
    <row r="160" spans="1:19">
      <c r="A160" t="s">
        <v>949</v>
      </c>
      <c r="B160" t="s">
        <v>2045</v>
      </c>
      <c r="C160">
        <v>376</v>
      </c>
      <c r="G160" s="11" t="s">
        <v>1343</v>
      </c>
      <c r="S160" s="51" t="s">
        <v>1025</v>
      </c>
    </row>
    <row r="161" spans="1:19">
      <c r="A161" t="s">
        <v>951</v>
      </c>
      <c r="B161" t="s">
        <v>2046</v>
      </c>
      <c r="C161">
        <v>608</v>
      </c>
      <c r="G161" s="11" t="s">
        <v>1345</v>
      </c>
      <c r="S161" s="51" t="s">
        <v>1027</v>
      </c>
    </row>
    <row r="162" spans="1:19">
      <c r="A162" t="s">
        <v>812</v>
      </c>
      <c r="B162" t="s">
        <v>1898</v>
      </c>
      <c r="C162">
        <v>93</v>
      </c>
      <c r="G162" s="11" t="s">
        <v>1347</v>
      </c>
      <c r="S162" s="51" t="s">
        <v>1029</v>
      </c>
    </row>
    <row r="163" spans="1:19">
      <c r="A163" t="s">
        <v>814</v>
      </c>
      <c r="B163" t="s">
        <v>1899</v>
      </c>
      <c r="C163">
        <v>346</v>
      </c>
      <c r="G163" s="11" t="s">
        <v>1349</v>
      </c>
      <c r="S163" s="51" t="s">
        <v>1031</v>
      </c>
    </row>
    <row r="164" spans="1:19">
      <c r="A164" t="s">
        <v>926</v>
      </c>
      <c r="B164" t="s">
        <v>1913</v>
      </c>
      <c r="C164">
        <v>629</v>
      </c>
      <c r="G164" s="11" t="s">
        <v>1351</v>
      </c>
      <c r="S164" s="51" t="s">
        <v>1032</v>
      </c>
    </row>
    <row r="165" spans="1:19">
      <c r="A165" t="s">
        <v>898</v>
      </c>
      <c r="B165" t="s">
        <v>2061</v>
      </c>
      <c r="C165">
        <v>1509</v>
      </c>
      <c r="G165" s="11" t="s">
        <v>1353</v>
      </c>
      <c r="S165" s="51" t="s">
        <v>1034</v>
      </c>
    </row>
    <row r="166" spans="1:19">
      <c r="A166" t="s">
        <v>922</v>
      </c>
      <c r="B166" t="s">
        <v>2062</v>
      </c>
      <c r="C166">
        <v>2107</v>
      </c>
      <c r="G166" s="51" t="s">
        <v>438</v>
      </c>
      <c r="S166" s="51" t="s">
        <v>1035</v>
      </c>
    </row>
    <row r="167" spans="1:19">
      <c r="A167" t="s">
        <v>854</v>
      </c>
      <c r="B167" t="s">
        <v>2063</v>
      </c>
      <c r="C167">
        <v>206</v>
      </c>
      <c r="G167" s="11" t="s">
        <v>1355</v>
      </c>
      <c r="S167" s="51" t="s">
        <v>1037</v>
      </c>
    </row>
    <row r="168" spans="1:19">
      <c r="A168" t="s">
        <v>995</v>
      </c>
      <c r="B168" t="s">
        <v>2064</v>
      </c>
      <c r="C168">
        <v>387</v>
      </c>
      <c r="G168" s="11" t="s">
        <v>1357</v>
      </c>
      <c r="S168" s="51" t="s">
        <v>1038</v>
      </c>
    </row>
    <row r="169" spans="1:19">
      <c r="A169" t="s">
        <v>989</v>
      </c>
      <c r="B169" t="s">
        <v>990</v>
      </c>
      <c r="C169">
        <v>989</v>
      </c>
      <c r="G169" s="11" t="s">
        <v>1359</v>
      </c>
      <c r="S169" s="51" t="s">
        <v>1040</v>
      </c>
    </row>
    <row r="170" spans="1:19">
      <c r="A170" t="s">
        <v>991</v>
      </c>
      <c r="B170" t="s">
        <v>992</v>
      </c>
      <c r="C170">
        <v>490</v>
      </c>
      <c r="G170" s="11" t="s">
        <v>1361</v>
      </c>
      <c r="S170" s="51" t="s">
        <v>1042</v>
      </c>
    </row>
    <row r="171" spans="1:19">
      <c r="A171" t="s">
        <v>931</v>
      </c>
      <c r="B171" t="s">
        <v>1907</v>
      </c>
      <c r="C171">
        <v>665</v>
      </c>
      <c r="G171" s="11" t="s">
        <v>1363</v>
      </c>
      <c r="S171" s="51" t="s">
        <v>1044</v>
      </c>
    </row>
    <row r="172" spans="1:19">
      <c r="A172" t="s">
        <v>993</v>
      </c>
      <c r="B172" t="s">
        <v>2057</v>
      </c>
      <c r="C172">
        <v>88</v>
      </c>
      <c r="G172" s="11" t="s">
        <v>1365</v>
      </c>
      <c r="S172" s="51" t="s">
        <v>1046</v>
      </c>
    </row>
    <row r="173" spans="1:19">
      <c r="A173" t="s">
        <v>971</v>
      </c>
      <c r="B173" t="s">
        <v>972</v>
      </c>
      <c r="C173">
        <v>0</v>
      </c>
      <c r="G173" s="11" t="s">
        <v>1367</v>
      </c>
      <c r="S173" s="51" t="s">
        <v>1048</v>
      </c>
    </row>
    <row r="174" spans="1:19">
      <c r="A174" t="s">
        <v>973</v>
      </c>
      <c r="B174" t="s">
        <v>1786</v>
      </c>
      <c r="C174">
        <v>325</v>
      </c>
      <c r="G174" s="11" t="s">
        <v>1369</v>
      </c>
      <c r="S174" s="51" t="s">
        <v>1050</v>
      </c>
    </row>
    <row r="175" spans="1:19">
      <c r="A175" t="s">
        <v>965</v>
      </c>
      <c r="B175" t="s">
        <v>1923</v>
      </c>
      <c r="C175">
        <v>433</v>
      </c>
      <c r="G175" s="11" t="s">
        <v>1371</v>
      </c>
      <c r="S175" s="51" t="s">
        <v>1052</v>
      </c>
    </row>
    <row r="176" spans="1:19">
      <c r="A176" t="s">
        <v>967</v>
      </c>
      <c r="B176" t="s">
        <v>2058</v>
      </c>
      <c r="C176">
        <v>598</v>
      </c>
      <c r="G176" s="11" t="s">
        <v>1373</v>
      </c>
      <c r="S176" s="51" t="s">
        <v>1054</v>
      </c>
    </row>
    <row r="177" spans="1:19">
      <c r="A177" t="s">
        <v>933</v>
      </c>
      <c r="B177" t="s">
        <v>1894</v>
      </c>
      <c r="C177">
        <v>418</v>
      </c>
      <c r="G177" s="11" t="s">
        <v>1375</v>
      </c>
      <c r="S177" s="51" t="s">
        <v>1056</v>
      </c>
    </row>
    <row r="178" spans="1:19">
      <c r="A178" t="s">
        <v>924</v>
      </c>
      <c r="B178" t="s">
        <v>1895</v>
      </c>
      <c r="C178">
        <v>794</v>
      </c>
      <c r="G178" s="11" t="s">
        <v>1377</v>
      </c>
      <c r="S178" s="69" t="s">
        <v>1058</v>
      </c>
    </row>
    <row r="179" spans="1:19">
      <c r="A179" t="s">
        <v>765</v>
      </c>
      <c r="B179" t="s">
        <v>2079</v>
      </c>
      <c r="C179">
        <v>191</v>
      </c>
      <c r="G179" s="11" t="s">
        <v>1379</v>
      </c>
      <c r="S179" s="68" t="s">
        <v>1060</v>
      </c>
    </row>
    <row r="180" spans="1:19">
      <c r="A180" t="s">
        <v>767</v>
      </c>
      <c r="B180" t="s">
        <v>2080</v>
      </c>
      <c r="C180">
        <v>1118</v>
      </c>
      <c r="G180" s="11" t="s">
        <v>1381</v>
      </c>
      <c r="S180" s="51" t="s">
        <v>1062</v>
      </c>
    </row>
    <row r="181" spans="1:19">
      <c r="A181" t="s">
        <v>763</v>
      </c>
      <c r="B181" t="s">
        <v>2081</v>
      </c>
      <c r="C181">
        <v>325</v>
      </c>
      <c r="S181" s="69" t="s">
        <v>1064</v>
      </c>
    </row>
    <row r="182" spans="1:19">
      <c r="A182" t="s">
        <v>761</v>
      </c>
      <c r="B182" t="s">
        <v>2082</v>
      </c>
      <c r="C182">
        <v>433</v>
      </c>
      <c r="S182" s="51" t="s">
        <v>1066</v>
      </c>
    </row>
    <row r="183" spans="1:19">
      <c r="A183" t="s">
        <v>759</v>
      </c>
      <c r="B183" t="s">
        <v>1824</v>
      </c>
      <c r="C183">
        <v>-412</v>
      </c>
      <c r="S183" s="68" t="s">
        <v>1068</v>
      </c>
    </row>
    <row r="184" spans="1:19">
      <c r="A184" t="s">
        <v>779</v>
      </c>
      <c r="B184" t="s">
        <v>1901</v>
      </c>
      <c r="C184">
        <v>1028</v>
      </c>
      <c r="S184" s="51" t="s">
        <v>1070</v>
      </c>
    </row>
    <row r="185" spans="1:19">
      <c r="A185" t="s">
        <v>798</v>
      </c>
      <c r="B185" t="s">
        <v>799</v>
      </c>
      <c r="C185">
        <v>258</v>
      </c>
      <c r="S185" s="51" t="s">
        <v>1071</v>
      </c>
    </row>
    <row r="186" spans="1:19">
      <c r="A186" t="s">
        <v>2083</v>
      </c>
      <c r="B186" t="s">
        <v>2084</v>
      </c>
      <c r="C186">
        <v>433</v>
      </c>
      <c r="S186" s="51" t="s">
        <v>1073</v>
      </c>
    </row>
    <row r="187" spans="1:19">
      <c r="A187" t="s">
        <v>2085</v>
      </c>
      <c r="B187" t="s">
        <v>2086</v>
      </c>
      <c r="C187">
        <v>598</v>
      </c>
      <c r="S187" s="51" t="s">
        <v>1075</v>
      </c>
    </row>
    <row r="188" spans="1:19">
      <c r="A188" t="s">
        <v>781</v>
      </c>
      <c r="B188" t="s">
        <v>2087</v>
      </c>
      <c r="C188">
        <v>263</v>
      </c>
      <c r="S188" s="51" t="s">
        <v>1076</v>
      </c>
    </row>
    <row r="189" spans="1:19">
      <c r="A189" t="s">
        <v>771</v>
      </c>
      <c r="B189" t="s">
        <v>2308</v>
      </c>
      <c r="C189">
        <v>469</v>
      </c>
      <c r="S189" s="51" t="s">
        <v>1078</v>
      </c>
    </row>
    <row r="190" spans="1:19">
      <c r="A190" t="s">
        <v>756</v>
      </c>
      <c r="B190" t="s">
        <v>2301</v>
      </c>
      <c r="C190">
        <v>0</v>
      </c>
      <c r="S190" s="51" t="s">
        <v>1080</v>
      </c>
    </row>
    <row r="191" spans="1:19">
      <c r="A191" t="s">
        <v>794</v>
      </c>
      <c r="B191" t="s">
        <v>2309</v>
      </c>
      <c r="C191">
        <v>0</v>
      </c>
      <c r="S191" s="51" t="s">
        <v>1082</v>
      </c>
    </row>
    <row r="192" spans="1:19">
      <c r="A192" t="s">
        <v>796</v>
      </c>
      <c r="B192" t="s">
        <v>2310</v>
      </c>
      <c r="C192">
        <v>25</v>
      </c>
      <c r="S192" s="51" t="s">
        <v>1084</v>
      </c>
    </row>
    <row r="193" spans="1:19">
      <c r="A193" t="s">
        <v>793</v>
      </c>
      <c r="B193" t="s">
        <v>2302</v>
      </c>
      <c r="C193">
        <v>810</v>
      </c>
      <c r="S193" s="51" t="s">
        <v>1086</v>
      </c>
    </row>
    <row r="194" spans="1:19">
      <c r="A194" t="s">
        <v>180</v>
      </c>
      <c r="B194" t="s">
        <v>2303</v>
      </c>
      <c r="C194">
        <v>1937</v>
      </c>
      <c r="S194" s="51" t="s">
        <v>1088</v>
      </c>
    </row>
    <row r="195" spans="1:19">
      <c r="A195" t="s">
        <v>182</v>
      </c>
      <c r="B195" t="s">
        <v>2304</v>
      </c>
      <c r="C195">
        <v>2931</v>
      </c>
      <c r="S195" s="51" t="s">
        <v>1090</v>
      </c>
    </row>
    <row r="196" spans="1:19">
      <c r="A196" t="s">
        <v>562</v>
      </c>
      <c r="B196" t="s">
        <v>2305</v>
      </c>
      <c r="C196">
        <v>495</v>
      </c>
      <c r="S196" s="51" t="s">
        <v>1091</v>
      </c>
    </row>
    <row r="197" spans="1:19">
      <c r="A197" t="s">
        <v>564</v>
      </c>
      <c r="B197" t="s">
        <v>2306</v>
      </c>
      <c r="C197">
        <v>206</v>
      </c>
      <c r="S197" s="51" t="s">
        <v>1093</v>
      </c>
    </row>
    <row r="198" spans="1:19">
      <c r="A198" t="s">
        <v>566</v>
      </c>
      <c r="B198" t="s">
        <v>2307</v>
      </c>
      <c r="C198">
        <v>222</v>
      </c>
      <c r="S198" s="51" t="s">
        <v>1094</v>
      </c>
    </row>
    <row r="199" spans="1:19">
      <c r="A199" t="s">
        <v>769</v>
      </c>
      <c r="B199" t="s">
        <v>2297</v>
      </c>
      <c r="C199">
        <v>88</v>
      </c>
      <c r="S199" s="51" t="s">
        <v>1096</v>
      </c>
    </row>
    <row r="200" spans="1:19">
      <c r="A200" t="s">
        <v>791</v>
      </c>
      <c r="B200" t="s">
        <v>2302</v>
      </c>
      <c r="C200">
        <v>783</v>
      </c>
      <c r="S200" s="69" t="s">
        <v>1098</v>
      </c>
    </row>
    <row r="201" spans="1:19">
      <c r="A201" t="s">
        <v>789</v>
      </c>
      <c r="B201" t="s">
        <v>1897</v>
      </c>
      <c r="C201">
        <v>315</v>
      </c>
      <c r="S201" s="11" t="s">
        <v>1100</v>
      </c>
    </row>
    <row r="202" spans="1:19">
      <c r="A202" t="s">
        <v>775</v>
      </c>
      <c r="B202" t="s">
        <v>2281</v>
      </c>
      <c r="C202">
        <v>0</v>
      </c>
      <c r="S202" s="11" t="s">
        <v>1102</v>
      </c>
    </row>
    <row r="203" spans="1:19">
      <c r="A203" t="s">
        <v>773</v>
      </c>
      <c r="B203" t="s">
        <v>2282</v>
      </c>
      <c r="C203">
        <v>289</v>
      </c>
      <c r="S203" s="11" t="s">
        <v>1104</v>
      </c>
    </row>
    <row r="204" spans="1:19">
      <c r="A204" t="s">
        <v>750</v>
      </c>
      <c r="B204" t="s">
        <v>2283</v>
      </c>
      <c r="C204">
        <v>52</v>
      </c>
      <c r="S204" s="11" t="s">
        <v>1106</v>
      </c>
    </row>
    <row r="205" spans="1:19">
      <c r="A205" t="s">
        <v>754</v>
      </c>
      <c r="B205" t="s">
        <v>2284</v>
      </c>
      <c r="C205">
        <v>325</v>
      </c>
      <c r="S205" s="11" t="s">
        <v>1107</v>
      </c>
    </row>
    <row r="206" spans="1:19">
      <c r="A206" t="s">
        <v>787</v>
      </c>
      <c r="B206" t="s">
        <v>2296</v>
      </c>
      <c r="C206">
        <v>1355</v>
      </c>
      <c r="S206" s="11" t="s">
        <v>1108</v>
      </c>
    </row>
    <row r="207" spans="1:19">
      <c r="A207" t="s">
        <v>116</v>
      </c>
      <c r="B207" t="s">
        <v>2288</v>
      </c>
      <c r="C207">
        <v>2369</v>
      </c>
      <c r="S207" s="11" t="s">
        <v>1110</v>
      </c>
    </row>
    <row r="208" spans="1:19">
      <c r="A208" t="s">
        <v>118</v>
      </c>
      <c r="B208" t="s">
        <v>2289</v>
      </c>
      <c r="C208">
        <v>1190</v>
      </c>
      <c r="S208" s="11" t="s">
        <v>1112</v>
      </c>
    </row>
    <row r="209" spans="1:19">
      <c r="A209" t="s">
        <v>745</v>
      </c>
      <c r="B209" t="s">
        <v>2294</v>
      </c>
      <c r="C209">
        <v>376</v>
      </c>
      <c r="S209" s="11" t="s">
        <v>1114</v>
      </c>
    </row>
    <row r="210" spans="1:19">
      <c r="A210" t="s">
        <v>9</v>
      </c>
      <c r="B210" t="s">
        <v>2295</v>
      </c>
      <c r="C210">
        <v>346</v>
      </c>
      <c r="S210" s="11" t="s">
        <v>1116</v>
      </c>
    </row>
    <row r="211" spans="1:19">
      <c r="A211" t="s">
        <v>785</v>
      </c>
      <c r="B211" t="s">
        <v>2286</v>
      </c>
      <c r="C211">
        <v>1216</v>
      </c>
      <c r="S211" s="11" t="s">
        <v>1118</v>
      </c>
    </row>
    <row r="212" spans="1:19">
      <c r="A212" t="s">
        <v>2089</v>
      </c>
      <c r="B212" t="s">
        <v>2090</v>
      </c>
      <c r="C212">
        <v>615</v>
      </c>
      <c r="S212" s="11" t="s">
        <v>1120</v>
      </c>
    </row>
    <row r="213" spans="1:19">
      <c r="A213" t="s">
        <v>783</v>
      </c>
      <c r="B213" t="s">
        <v>1901</v>
      </c>
      <c r="C213">
        <v>974</v>
      </c>
      <c r="S213" s="11" t="s">
        <v>1122</v>
      </c>
    </row>
    <row r="214" spans="1:19">
      <c r="A214" t="s">
        <v>882</v>
      </c>
      <c r="B214" t="s">
        <v>1894</v>
      </c>
      <c r="C214">
        <v>840</v>
      </c>
      <c r="S214" s="11" t="s">
        <v>1124</v>
      </c>
    </row>
    <row r="215" spans="1:19">
      <c r="A215" t="s">
        <v>906</v>
      </c>
      <c r="B215" t="s">
        <v>1895</v>
      </c>
      <c r="C215">
        <v>1324</v>
      </c>
      <c r="S215" s="11" t="s">
        <v>1126</v>
      </c>
    </row>
    <row r="216" spans="1:19">
      <c r="A216" t="s">
        <v>658</v>
      </c>
      <c r="B216" t="s">
        <v>2328</v>
      </c>
      <c r="C216">
        <v>273</v>
      </c>
      <c r="S216" s="11" t="s">
        <v>1128</v>
      </c>
    </row>
    <row r="217" spans="1:19">
      <c r="A217" t="s">
        <v>660</v>
      </c>
      <c r="B217" t="s">
        <v>2329</v>
      </c>
      <c r="C217">
        <v>170</v>
      </c>
      <c r="S217" s="51" t="s">
        <v>1129</v>
      </c>
    </row>
    <row r="218" spans="1:19">
      <c r="A218" t="s">
        <v>666</v>
      </c>
      <c r="B218" t="s">
        <v>2330</v>
      </c>
      <c r="C218">
        <v>325</v>
      </c>
      <c r="S218" s="51" t="s">
        <v>1131</v>
      </c>
    </row>
    <row r="219" spans="1:19">
      <c r="A219" t="s">
        <v>668</v>
      </c>
      <c r="B219" t="s">
        <v>2331</v>
      </c>
      <c r="C219">
        <v>2009</v>
      </c>
      <c r="S219" s="51" t="s">
        <v>1133</v>
      </c>
    </row>
    <row r="220" spans="1:19">
      <c r="A220" t="s">
        <v>670</v>
      </c>
      <c r="B220" t="s">
        <v>2332</v>
      </c>
      <c r="C220">
        <v>2982</v>
      </c>
      <c r="S220" s="51" t="s">
        <v>1135</v>
      </c>
    </row>
    <row r="221" spans="1:19">
      <c r="A221" t="s">
        <v>672</v>
      </c>
      <c r="B221" t="s">
        <v>2333</v>
      </c>
      <c r="C221">
        <v>2395</v>
      </c>
      <c r="S221" s="51" t="s">
        <v>1137</v>
      </c>
    </row>
    <row r="222" spans="1:19">
      <c r="A222" t="s">
        <v>674</v>
      </c>
      <c r="B222" t="s">
        <v>2334</v>
      </c>
      <c r="C222">
        <v>4244</v>
      </c>
      <c r="S222" s="51" t="s">
        <v>1139</v>
      </c>
    </row>
    <row r="223" spans="1:19">
      <c r="A223" t="s">
        <v>676</v>
      </c>
      <c r="B223" t="s">
        <v>2335</v>
      </c>
      <c r="C223">
        <v>3436</v>
      </c>
      <c r="S223" s="51" t="s">
        <v>1141</v>
      </c>
    </row>
    <row r="224" spans="1:19">
      <c r="A224" t="s">
        <v>678</v>
      </c>
      <c r="B224" t="s">
        <v>2336</v>
      </c>
      <c r="C224">
        <v>1803</v>
      </c>
      <c r="S224" s="51" t="s">
        <v>1143</v>
      </c>
    </row>
    <row r="225" spans="1:19">
      <c r="A225" t="s">
        <v>684</v>
      </c>
      <c r="B225" t="s">
        <v>2337</v>
      </c>
      <c r="C225">
        <v>4115</v>
      </c>
      <c r="S225" s="51" t="s">
        <v>1145</v>
      </c>
    </row>
    <row r="226" spans="1:19">
      <c r="A226" t="s">
        <v>662</v>
      </c>
      <c r="B226" t="s">
        <v>663</v>
      </c>
      <c r="C226">
        <v>366</v>
      </c>
      <c r="S226" s="51" t="s">
        <v>1147</v>
      </c>
    </row>
    <row r="227" spans="1:19">
      <c r="A227" t="s">
        <v>682</v>
      </c>
      <c r="B227" t="s">
        <v>2338</v>
      </c>
      <c r="C227">
        <v>6000</v>
      </c>
      <c r="S227" s="51" t="s">
        <v>1149</v>
      </c>
    </row>
    <row r="228" spans="1:19">
      <c r="A228" t="s">
        <v>690</v>
      </c>
      <c r="B228" t="s">
        <v>2343</v>
      </c>
      <c r="C228">
        <v>98</v>
      </c>
      <c r="S228" s="51" t="s">
        <v>1151</v>
      </c>
    </row>
    <row r="229" spans="1:19">
      <c r="A229" t="s">
        <v>694</v>
      </c>
      <c r="B229" t="s">
        <v>2342</v>
      </c>
      <c r="C229">
        <v>1535</v>
      </c>
      <c r="S229" s="51" t="s">
        <v>1153</v>
      </c>
    </row>
    <row r="230" spans="1:19">
      <c r="A230" t="s">
        <v>680</v>
      </c>
      <c r="B230" t="s">
        <v>2339</v>
      </c>
      <c r="C230">
        <v>279</v>
      </c>
      <c r="S230" s="51" t="s">
        <v>1154</v>
      </c>
    </row>
    <row r="231" spans="1:19">
      <c r="A231" t="s">
        <v>664</v>
      </c>
      <c r="B231" t="s">
        <v>2340</v>
      </c>
      <c r="C231">
        <v>124</v>
      </c>
      <c r="S231" s="51" t="s">
        <v>1156</v>
      </c>
    </row>
    <row r="232" spans="1:19">
      <c r="A232" t="s">
        <v>696</v>
      </c>
      <c r="B232" t="s">
        <v>2341</v>
      </c>
      <c r="C232">
        <v>1803</v>
      </c>
      <c r="S232" s="51" t="s">
        <v>1158</v>
      </c>
    </row>
    <row r="233" spans="1:19">
      <c r="A233" t="s">
        <v>730</v>
      </c>
      <c r="B233" t="s">
        <v>2344</v>
      </c>
      <c r="C233">
        <v>62</v>
      </c>
      <c r="S233" s="51" t="s">
        <v>1160</v>
      </c>
    </row>
    <row r="234" spans="1:19">
      <c r="A234" t="s">
        <v>732</v>
      </c>
      <c r="B234" t="s">
        <v>2344</v>
      </c>
      <c r="C234">
        <v>62</v>
      </c>
      <c r="S234" s="51" t="s">
        <v>1161</v>
      </c>
    </row>
    <row r="235" spans="1:19">
      <c r="A235" t="s">
        <v>734</v>
      </c>
      <c r="B235" t="s">
        <v>2344</v>
      </c>
      <c r="C235">
        <v>62</v>
      </c>
      <c r="S235" s="51" t="s">
        <v>1162</v>
      </c>
    </row>
    <row r="236" spans="1:19">
      <c r="A236" t="s">
        <v>718</v>
      </c>
      <c r="B236" t="s">
        <v>2344</v>
      </c>
      <c r="C236">
        <v>62</v>
      </c>
      <c r="S236" s="51" t="s">
        <v>1164</v>
      </c>
    </row>
    <row r="237" spans="1:19">
      <c r="A237" t="s">
        <v>720</v>
      </c>
      <c r="B237" t="s">
        <v>2344</v>
      </c>
      <c r="C237">
        <v>62</v>
      </c>
      <c r="S237" s="51" t="s">
        <v>1166</v>
      </c>
    </row>
    <row r="238" spans="1:19">
      <c r="A238" t="s">
        <v>722</v>
      </c>
      <c r="B238" t="s">
        <v>2344</v>
      </c>
      <c r="C238">
        <v>62</v>
      </c>
      <c r="S238" s="51" t="s">
        <v>1168</v>
      </c>
    </row>
    <row r="239" spans="1:19">
      <c r="A239" t="s">
        <v>724</v>
      </c>
      <c r="B239" t="s">
        <v>2344</v>
      </c>
      <c r="C239">
        <v>62</v>
      </c>
      <c r="S239" s="11" t="s">
        <v>1170</v>
      </c>
    </row>
    <row r="240" spans="1:19">
      <c r="A240" t="s">
        <v>710</v>
      </c>
      <c r="B240" t="s">
        <v>2344</v>
      </c>
      <c r="C240">
        <v>62</v>
      </c>
      <c r="S240" s="11" t="s">
        <v>1172</v>
      </c>
    </row>
    <row r="241" spans="1:19">
      <c r="A241" t="s">
        <v>712</v>
      </c>
      <c r="B241" t="s">
        <v>2344</v>
      </c>
      <c r="C241">
        <v>62</v>
      </c>
      <c r="S241" s="11" t="s">
        <v>1174</v>
      </c>
    </row>
    <row r="242" spans="1:19">
      <c r="A242" t="s">
        <v>714</v>
      </c>
      <c r="B242" t="s">
        <v>2344</v>
      </c>
      <c r="C242">
        <v>62</v>
      </c>
      <c r="S242" s="11" t="s">
        <v>1176</v>
      </c>
    </row>
    <row r="243" spans="1:19">
      <c r="A243" t="s">
        <v>716</v>
      </c>
      <c r="B243" t="s">
        <v>2344</v>
      </c>
      <c r="C243">
        <v>62</v>
      </c>
      <c r="S243" s="11" t="s">
        <v>1178</v>
      </c>
    </row>
    <row r="244" spans="1:19">
      <c r="A244" t="s">
        <v>700</v>
      </c>
      <c r="B244" t="s">
        <v>2344</v>
      </c>
      <c r="C244">
        <v>62</v>
      </c>
      <c r="S244" s="11" t="s">
        <v>1180</v>
      </c>
    </row>
    <row r="245" spans="1:19">
      <c r="A245" t="s">
        <v>702</v>
      </c>
      <c r="B245" t="s">
        <v>2344</v>
      </c>
      <c r="C245">
        <v>62</v>
      </c>
      <c r="S245" s="51" t="s">
        <v>1182</v>
      </c>
    </row>
    <row r="246" spans="1:19">
      <c r="A246" t="s">
        <v>704</v>
      </c>
      <c r="B246" t="s">
        <v>2344</v>
      </c>
      <c r="C246">
        <v>62</v>
      </c>
      <c r="S246" s="51" t="s">
        <v>1183</v>
      </c>
    </row>
    <row r="247" spans="1:19">
      <c r="A247" t="s">
        <v>706</v>
      </c>
      <c r="B247" t="s">
        <v>2344</v>
      </c>
      <c r="C247">
        <v>62</v>
      </c>
      <c r="S247" s="51" t="s">
        <v>1184</v>
      </c>
    </row>
    <row r="248" spans="1:19">
      <c r="A248" t="s">
        <v>726</v>
      </c>
      <c r="B248" t="s">
        <v>2344</v>
      </c>
      <c r="C248">
        <v>62</v>
      </c>
      <c r="S248" s="51" t="s">
        <v>1186</v>
      </c>
    </row>
    <row r="249" spans="1:19">
      <c r="A249" t="s">
        <v>708</v>
      </c>
      <c r="B249" t="s">
        <v>2344</v>
      </c>
      <c r="C249">
        <v>62</v>
      </c>
      <c r="S249" s="51" t="s">
        <v>1188</v>
      </c>
    </row>
    <row r="250" spans="1:19">
      <c r="A250" t="s">
        <v>698</v>
      </c>
      <c r="B250" t="s">
        <v>2344</v>
      </c>
      <c r="C250">
        <v>62</v>
      </c>
      <c r="S250" s="51" t="s">
        <v>1190</v>
      </c>
    </row>
    <row r="251" spans="1:19">
      <c r="S251" s="51" t="s">
        <v>1191</v>
      </c>
    </row>
    <row r="252" spans="1:19">
      <c r="S252" s="51" t="s">
        <v>1192</v>
      </c>
    </row>
    <row r="253" spans="1:19">
      <c r="S253" s="51" t="s">
        <v>1194</v>
      </c>
    </row>
    <row r="254" spans="1:19">
      <c r="S254" s="51" t="s">
        <v>1196</v>
      </c>
    </row>
    <row r="255" spans="1:19">
      <c r="S255" s="51" t="s">
        <v>1198</v>
      </c>
    </row>
    <row r="256" spans="1:19">
      <c r="S256" s="51" t="s">
        <v>1200</v>
      </c>
    </row>
    <row r="257" spans="19:19">
      <c r="S257" s="51" t="s">
        <v>1202</v>
      </c>
    </row>
    <row r="258" spans="19:19">
      <c r="S258" s="51" t="s">
        <v>1204</v>
      </c>
    </row>
    <row r="259" spans="19:19">
      <c r="S259" s="51" t="s">
        <v>1206</v>
      </c>
    </row>
    <row r="260" spans="19:19">
      <c r="S260" s="51" t="s">
        <v>1208</v>
      </c>
    </row>
    <row r="261" spans="19:19">
      <c r="S261" s="51" t="s">
        <v>1210</v>
      </c>
    </row>
    <row r="262" spans="19:19">
      <c r="S262" s="51" t="s">
        <v>1212</v>
      </c>
    </row>
    <row r="263" spans="19:19">
      <c r="S263" s="51" t="s">
        <v>1214</v>
      </c>
    </row>
    <row r="264" spans="19:19">
      <c r="S264" s="51" t="s">
        <v>1216</v>
      </c>
    </row>
    <row r="265" spans="19:19">
      <c r="S265" s="51" t="s">
        <v>1218</v>
      </c>
    </row>
    <row r="266" spans="19:19">
      <c r="S266" s="51" t="s">
        <v>1220</v>
      </c>
    </row>
    <row r="267" spans="19:19">
      <c r="S267" s="51" t="s">
        <v>1222</v>
      </c>
    </row>
    <row r="268" spans="19:19">
      <c r="S268" s="11" t="s">
        <v>1223</v>
      </c>
    </row>
    <row r="269" spans="19:19">
      <c r="S269" s="51" t="s">
        <v>1225</v>
      </c>
    </row>
    <row r="270" spans="19:19">
      <c r="S270" s="51" t="s">
        <v>1227</v>
      </c>
    </row>
    <row r="271" spans="19:19">
      <c r="S271" s="51" t="s">
        <v>1229</v>
      </c>
    </row>
    <row r="272" spans="19:19">
      <c r="S272" s="76" t="s">
        <v>1238</v>
      </c>
    </row>
    <row r="273" spans="19:19">
      <c r="S273" s="51" t="s">
        <v>1231</v>
      </c>
    </row>
    <row r="274" spans="19:19">
      <c r="S274" s="51" t="s">
        <v>1233</v>
      </c>
    </row>
    <row r="275" spans="19:19">
      <c r="S275" s="51" t="s">
        <v>1234</v>
      </c>
    </row>
    <row r="276" spans="19:19">
      <c r="S276" s="76" t="s">
        <v>1236</v>
      </c>
    </row>
    <row r="277" spans="19:19">
      <c r="S277" s="51" t="s">
        <v>1240</v>
      </c>
    </row>
    <row r="278" spans="19:19">
      <c r="S278" s="51" t="s">
        <v>1241</v>
      </c>
    </row>
    <row r="279" spans="19:19">
      <c r="S279" s="51" t="s">
        <v>1243</v>
      </c>
    </row>
    <row r="280" spans="19:19">
      <c r="S280" s="51" t="s">
        <v>1245</v>
      </c>
    </row>
    <row r="281" spans="19:19">
      <c r="S281" s="51" t="s">
        <v>1247</v>
      </c>
    </row>
    <row r="282" spans="19:19">
      <c r="S282" s="73" t="s">
        <v>1248</v>
      </c>
    </row>
    <row r="283" spans="19:19">
      <c r="S283" s="72" t="s">
        <v>1250</v>
      </c>
    </row>
    <row r="284" spans="19:19">
      <c r="S284" s="72" t="s">
        <v>1251</v>
      </c>
    </row>
    <row r="285" spans="19:19">
      <c r="S285" s="11" t="s">
        <v>430</v>
      </c>
    </row>
    <row r="286" spans="19:19">
      <c r="S286" s="11" t="s">
        <v>1253</v>
      </c>
    </row>
    <row r="287" spans="19:19">
      <c r="S287" s="11" t="s">
        <v>1255</v>
      </c>
    </row>
    <row r="288" spans="19:19">
      <c r="S288" s="11" t="s">
        <v>1259</v>
      </c>
    </row>
    <row r="289" spans="19:19">
      <c r="S289" s="11" t="s">
        <v>1261</v>
      </c>
    </row>
    <row r="290" spans="19:19">
      <c r="S290" s="11" t="s">
        <v>1263</v>
      </c>
    </row>
    <row r="291" spans="19:19">
      <c r="S291" s="11" t="s">
        <v>1265</v>
      </c>
    </row>
    <row r="292" spans="19:19">
      <c r="S292" s="11" t="s">
        <v>1267</v>
      </c>
    </row>
    <row r="293" spans="19:19">
      <c r="S293" s="11" t="s">
        <v>1269</v>
      </c>
    </row>
    <row r="294" spans="19:19">
      <c r="S294" s="11" t="s">
        <v>1271</v>
      </c>
    </row>
    <row r="295" spans="19:19">
      <c r="S295" s="11" t="s">
        <v>1273</v>
      </c>
    </row>
    <row r="296" spans="19:19">
      <c r="S296" s="11" t="s">
        <v>1275</v>
      </c>
    </row>
    <row r="297" spans="19:19">
      <c r="S297" s="11" t="s">
        <v>1257</v>
      </c>
    </row>
    <row r="298" spans="19:19">
      <c r="S298" s="11" t="s">
        <v>1277</v>
      </c>
    </row>
    <row r="299" spans="19:19">
      <c r="S299" s="11" t="s">
        <v>1279</v>
      </c>
    </row>
    <row r="300" spans="19:19">
      <c r="S300" s="11" t="s">
        <v>1281</v>
      </c>
    </row>
    <row r="301" spans="19:19">
      <c r="S301" s="11" t="s">
        <v>1283</v>
      </c>
    </row>
    <row r="302" spans="19:19">
      <c r="S302" s="11" t="s">
        <v>1285</v>
      </c>
    </row>
    <row r="303" spans="19:19">
      <c r="S303" s="11" t="s">
        <v>1287</v>
      </c>
    </row>
    <row r="304" spans="19:19">
      <c r="S304" s="11" t="s">
        <v>1289</v>
      </c>
    </row>
    <row r="305" spans="19:19">
      <c r="S305" s="11" t="s">
        <v>1291</v>
      </c>
    </row>
    <row r="306" spans="19:19">
      <c r="S306" s="11" t="s">
        <v>1293</v>
      </c>
    </row>
    <row r="307" spans="19:19">
      <c r="S307" s="11" t="s">
        <v>1295</v>
      </c>
    </row>
    <row r="308" spans="19:19">
      <c r="S308" s="11" t="s">
        <v>1297</v>
      </c>
    </row>
    <row r="309" spans="19:19">
      <c r="S309" s="11" t="s">
        <v>1299</v>
      </c>
    </row>
    <row r="310" spans="19:19">
      <c r="S310" s="11" t="s">
        <v>1301</v>
      </c>
    </row>
    <row r="311" spans="19:19">
      <c r="S311" s="11" t="s">
        <v>1303</v>
      </c>
    </row>
    <row r="312" spans="19:19">
      <c r="S312" s="11" t="s">
        <v>1305</v>
      </c>
    </row>
    <row r="313" spans="19:19">
      <c r="S313" s="11" t="s">
        <v>1307</v>
      </c>
    </row>
    <row r="314" spans="19:19">
      <c r="S314" s="11" t="s">
        <v>1309</v>
      </c>
    </row>
    <row r="315" spans="19:19">
      <c r="S315" s="11" t="s">
        <v>1311</v>
      </c>
    </row>
    <row r="316" spans="19:19">
      <c r="S316" s="11" t="s">
        <v>1313</v>
      </c>
    </row>
    <row r="317" spans="19:19">
      <c r="S317" s="11" t="s">
        <v>1315</v>
      </c>
    </row>
    <row r="318" spans="19:19">
      <c r="S318" s="11" t="s">
        <v>1317</v>
      </c>
    </row>
    <row r="319" spans="19:19">
      <c r="S319" s="11" t="s">
        <v>1319</v>
      </c>
    </row>
    <row r="320" spans="19:19">
      <c r="S320" s="11" t="s">
        <v>1321</v>
      </c>
    </row>
    <row r="321" spans="19:19">
      <c r="S321" s="11" t="s">
        <v>1323</v>
      </c>
    </row>
    <row r="322" spans="19:19">
      <c r="S322" s="11" t="s">
        <v>1325</v>
      </c>
    </row>
    <row r="323" spans="19:19">
      <c r="S323" s="11" t="s">
        <v>1327</v>
      </c>
    </row>
    <row r="324" spans="19:19">
      <c r="S324" s="11" t="s">
        <v>1329</v>
      </c>
    </row>
    <row r="325" spans="19:19">
      <c r="S325" s="11" t="s">
        <v>1331</v>
      </c>
    </row>
    <row r="326" spans="19:19">
      <c r="S326" s="11" t="s">
        <v>1333</v>
      </c>
    </row>
    <row r="327" spans="19:19">
      <c r="S327" s="11" t="s">
        <v>1335</v>
      </c>
    </row>
    <row r="328" spans="19:19">
      <c r="S328" s="11" t="s">
        <v>1337</v>
      </c>
    </row>
    <row r="329" spans="19:19">
      <c r="S329" s="51" t="s">
        <v>432</v>
      </c>
    </row>
    <row r="330" spans="19:19">
      <c r="S330" s="51" t="s">
        <v>434</v>
      </c>
    </row>
    <row r="331" spans="19:19">
      <c r="S331" s="51" t="s">
        <v>436</v>
      </c>
    </row>
    <row r="332" spans="19:19">
      <c r="S332" s="11" t="s">
        <v>1339</v>
      </c>
    </row>
    <row r="333" spans="19:19">
      <c r="S333" s="11" t="s">
        <v>1341</v>
      </c>
    </row>
    <row r="334" spans="19:19">
      <c r="S334" s="11" t="s">
        <v>1343</v>
      </c>
    </row>
    <row r="335" spans="19:19">
      <c r="S335" s="11" t="s">
        <v>1345</v>
      </c>
    </row>
    <row r="336" spans="19:19">
      <c r="S336" s="11" t="s">
        <v>1347</v>
      </c>
    </row>
    <row r="337" spans="19:19">
      <c r="S337" s="11" t="s">
        <v>1349</v>
      </c>
    </row>
    <row r="338" spans="19:19">
      <c r="S338" s="11" t="s">
        <v>1351</v>
      </c>
    </row>
    <row r="339" spans="19:19">
      <c r="S339" s="11" t="s">
        <v>1353</v>
      </c>
    </row>
    <row r="340" spans="19:19">
      <c r="S340" s="51" t="s">
        <v>438</v>
      </c>
    </row>
    <row r="341" spans="19:19">
      <c r="S341" s="11" t="s">
        <v>1355</v>
      </c>
    </row>
    <row r="342" spans="19:19">
      <c r="S342" s="11" t="s">
        <v>1357</v>
      </c>
    </row>
    <row r="343" spans="19:19">
      <c r="S343" s="11" t="s">
        <v>1359</v>
      </c>
    </row>
    <row r="344" spans="19:19">
      <c r="S344" s="11" t="s">
        <v>1361</v>
      </c>
    </row>
    <row r="345" spans="19:19">
      <c r="S345" s="11" t="s">
        <v>1363</v>
      </c>
    </row>
    <row r="346" spans="19:19">
      <c r="S346" s="11" t="s">
        <v>1365</v>
      </c>
    </row>
    <row r="347" spans="19:19">
      <c r="S347" s="11" t="s">
        <v>1367</v>
      </c>
    </row>
    <row r="348" spans="19:19">
      <c r="S348" s="11" t="s">
        <v>1369</v>
      </c>
    </row>
    <row r="349" spans="19:19">
      <c r="S349" s="11" t="s">
        <v>1371</v>
      </c>
    </row>
    <row r="350" spans="19:19">
      <c r="S350" s="11" t="s">
        <v>1373</v>
      </c>
    </row>
    <row r="351" spans="19:19">
      <c r="S351" s="11" t="s">
        <v>1375</v>
      </c>
    </row>
    <row r="352" spans="19:19">
      <c r="S352" s="11" t="s">
        <v>1377</v>
      </c>
    </row>
    <row r="353" spans="19:19">
      <c r="S353" s="11" t="s">
        <v>1379</v>
      </c>
    </row>
    <row r="354" spans="19:19">
      <c r="S354" s="11" t="s">
        <v>1381</v>
      </c>
    </row>
    <row r="355" spans="19:19">
      <c r="S355" s="51" t="s">
        <v>440</v>
      </c>
    </row>
    <row r="356" spans="19:19">
      <c r="S356" s="51" t="s">
        <v>442</v>
      </c>
    </row>
    <row r="357" spans="19:19">
      <c r="S357" s="51" t="s">
        <v>444</v>
      </c>
    </row>
    <row r="358" spans="19:19">
      <c r="S358" s="51" t="s">
        <v>446</v>
      </c>
    </row>
    <row r="359" spans="19:19">
      <c r="S359" s="51" t="s">
        <v>449</v>
      </c>
    </row>
    <row r="360" spans="19:19">
      <c r="S360" s="51" t="s">
        <v>451</v>
      </c>
    </row>
    <row r="361" spans="19:19">
      <c r="S361" s="51" t="s">
        <v>453</v>
      </c>
    </row>
    <row r="362" spans="19:19">
      <c r="S362" s="51" t="s">
        <v>455</v>
      </c>
    </row>
    <row r="363" spans="19:19">
      <c r="S363" s="51" t="s">
        <v>457</v>
      </c>
    </row>
    <row r="364" spans="19:19">
      <c r="S364" s="51" t="s">
        <v>459</v>
      </c>
    </row>
    <row r="365" spans="19:19">
      <c r="S365" s="25" t="s">
        <v>98</v>
      </c>
    </row>
    <row r="366" spans="19:19">
      <c r="S366" s="11" t="s">
        <v>461</v>
      </c>
    </row>
    <row r="367" spans="19:19">
      <c r="S367" s="11" t="s">
        <v>463</v>
      </c>
    </row>
    <row r="368" spans="19:19">
      <c r="S368" s="11" t="s">
        <v>465</v>
      </c>
    </row>
    <row r="369" spans="19:19">
      <c r="S369" s="51" t="s">
        <v>467</v>
      </c>
    </row>
    <row r="370" spans="19:19">
      <c r="S370" s="51" t="s">
        <v>469</v>
      </c>
    </row>
    <row r="371" spans="19:19">
      <c r="S371" s="11" t="s">
        <v>471</v>
      </c>
    </row>
    <row r="372" spans="19:19">
      <c r="S372" s="51" t="s">
        <v>473</v>
      </c>
    </row>
    <row r="373" spans="19:19">
      <c r="S373" s="11" t="s">
        <v>475</v>
      </c>
    </row>
    <row r="374" spans="19:19">
      <c r="S374" s="51" t="s">
        <v>477</v>
      </c>
    </row>
    <row r="375" spans="19:19">
      <c r="S375" s="25" t="s">
        <v>100</v>
      </c>
    </row>
    <row r="376" spans="19:19">
      <c r="S376" s="11" t="s">
        <v>479</v>
      </c>
    </row>
    <row r="377" spans="19:19">
      <c r="S377" s="25" t="s">
        <v>90</v>
      </c>
    </row>
    <row r="378" spans="19:19">
      <c r="S378" s="11" t="s">
        <v>481</v>
      </c>
    </row>
    <row r="379" spans="19:19">
      <c r="S379" s="11" t="s">
        <v>483</v>
      </c>
    </row>
    <row r="380" spans="19:19">
      <c r="S380" s="25" t="s">
        <v>104</v>
      </c>
    </row>
    <row r="381" spans="19:19">
      <c r="S381" s="25" t="s">
        <v>102</v>
      </c>
    </row>
    <row r="382" spans="19:19">
      <c r="S382" s="11" t="s">
        <v>484</v>
      </c>
    </row>
    <row r="383" spans="19:19">
      <c r="S383" s="11" t="s">
        <v>486</v>
      </c>
    </row>
    <row r="384" spans="19:19">
      <c r="S384" s="11" t="s">
        <v>488</v>
      </c>
    </row>
    <row r="385" spans="19:19">
      <c r="S385" s="11" t="s">
        <v>490</v>
      </c>
    </row>
    <row r="386" spans="19:19">
      <c r="S386" s="11" t="s">
        <v>492</v>
      </c>
    </row>
    <row r="387" spans="19:19">
      <c r="S387" s="11" t="s">
        <v>494</v>
      </c>
    </row>
    <row r="388" spans="19:19">
      <c r="S388" s="11" t="s">
        <v>496</v>
      </c>
    </row>
    <row r="389" spans="19:19">
      <c r="S389" s="11" t="s">
        <v>498</v>
      </c>
    </row>
    <row r="390" spans="19:19">
      <c r="S390" s="11" t="s">
        <v>500</v>
      </c>
    </row>
    <row r="391" spans="19:19">
      <c r="S391" s="11" t="s">
        <v>502</v>
      </c>
    </row>
    <row r="392" spans="19:19">
      <c r="S392" s="11" t="s">
        <v>504</v>
      </c>
    </row>
    <row r="393" spans="19:19">
      <c r="S393" s="11" t="s">
        <v>506</v>
      </c>
    </row>
    <row r="394" spans="19:19">
      <c r="S394" s="11" t="s">
        <v>508</v>
      </c>
    </row>
    <row r="395" spans="19:19">
      <c r="S395" s="11" t="s">
        <v>510</v>
      </c>
    </row>
    <row r="396" spans="19:19">
      <c r="S396" s="11" t="s">
        <v>512</v>
      </c>
    </row>
    <row r="397" spans="19:19">
      <c r="S397" s="11" t="s">
        <v>514</v>
      </c>
    </row>
    <row r="398" spans="19:19">
      <c r="S398" s="11" t="s">
        <v>516</v>
      </c>
    </row>
    <row r="399" spans="19:19">
      <c r="S399" s="51" t="s">
        <v>518</v>
      </c>
    </row>
    <row r="400" spans="19:19">
      <c r="S400" s="51" t="s">
        <v>520</v>
      </c>
    </row>
    <row r="401" spans="19:19">
      <c r="S401" s="11" t="s">
        <v>522</v>
      </c>
    </row>
    <row r="402" spans="19:19">
      <c r="S402" s="11" t="s">
        <v>524</v>
      </c>
    </row>
    <row r="403" spans="19:19">
      <c r="S403" s="11" t="s">
        <v>526</v>
      </c>
    </row>
    <row r="404" spans="19:19">
      <c r="S404" s="51" t="s">
        <v>528</v>
      </c>
    </row>
    <row r="405" spans="19:19">
      <c r="S405" s="51" t="s">
        <v>530</v>
      </c>
    </row>
    <row r="406" spans="19:19">
      <c r="S406" s="11" t="s">
        <v>532</v>
      </c>
    </row>
    <row r="407" spans="19:19">
      <c r="S407" s="11" t="s">
        <v>534</v>
      </c>
    </row>
    <row r="408" spans="19:19">
      <c r="S408" s="51" t="s">
        <v>536</v>
      </c>
    </row>
    <row r="409" spans="19:19">
      <c r="S409" s="51" t="s">
        <v>538</v>
      </c>
    </row>
    <row r="410" spans="19:19">
      <c r="S410" s="51" t="s">
        <v>540</v>
      </c>
    </row>
    <row r="411" spans="19:19">
      <c r="S411" s="51" t="s">
        <v>542</v>
      </c>
    </row>
    <row r="412" spans="19:19">
      <c r="S412" s="11" t="s">
        <v>544</v>
      </c>
    </row>
    <row r="413" spans="19:19">
      <c r="S413" s="11" t="s">
        <v>546</v>
      </c>
    </row>
    <row r="414" spans="19:19">
      <c r="S414" s="11" t="s">
        <v>548</v>
      </c>
    </row>
    <row r="415" spans="19:19">
      <c r="S415" s="11" t="s">
        <v>550</v>
      </c>
    </row>
    <row r="416" spans="19:19">
      <c r="S416" s="11" t="s">
        <v>552</v>
      </c>
    </row>
    <row r="417" spans="19:19">
      <c r="S417" s="11" t="s">
        <v>554</v>
      </c>
    </row>
    <row r="418" spans="19:19">
      <c r="S418" s="11" t="s">
        <v>556</v>
      </c>
    </row>
    <row r="419" spans="19:19">
      <c r="S419" s="11" t="s">
        <v>566</v>
      </c>
    </row>
    <row r="420" spans="19:19">
      <c r="S420" s="11" t="s">
        <v>562</v>
      </c>
    </row>
    <row r="421" spans="19:19">
      <c r="S421" s="11" t="s">
        <v>564</v>
      </c>
    </row>
    <row r="422" spans="19:19">
      <c r="S422" s="11" t="s">
        <v>558</v>
      </c>
    </row>
    <row r="423" spans="19:19">
      <c r="S423" s="11" t="s">
        <v>560</v>
      </c>
    </row>
    <row r="424" spans="19:19">
      <c r="S424" s="27" t="s">
        <v>178</v>
      </c>
    </row>
    <row r="425" spans="19:19">
      <c r="S425" s="27" t="s">
        <v>180</v>
      </c>
    </row>
    <row r="426" spans="19:19">
      <c r="S426" s="27" t="s">
        <v>182</v>
      </c>
    </row>
    <row r="427" spans="19:19">
      <c r="S427" s="11" t="s">
        <v>570</v>
      </c>
    </row>
    <row r="428" spans="19:19">
      <c r="S428" s="11" t="s">
        <v>568</v>
      </c>
    </row>
    <row r="429" spans="19:19">
      <c r="S429" s="11" t="s">
        <v>574</v>
      </c>
    </row>
    <row r="430" spans="19:19">
      <c r="S430" s="11" t="s">
        <v>576</v>
      </c>
    </row>
    <row r="431" spans="19:19">
      <c r="S431" s="11" t="s">
        <v>577</v>
      </c>
    </row>
    <row r="432" spans="19:19">
      <c r="S432" s="11" t="s">
        <v>578</v>
      </c>
    </row>
    <row r="433" spans="19:19">
      <c r="S433" s="11" t="s">
        <v>579</v>
      </c>
    </row>
    <row r="434" spans="19:19">
      <c r="S434" s="11" t="s">
        <v>572</v>
      </c>
    </row>
    <row r="435" spans="19:19">
      <c r="S435" s="51" t="s">
        <v>580</v>
      </c>
    </row>
    <row r="436" spans="19:19">
      <c r="S436" s="11" t="s">
        <v>582</v>
      </c>
    </row>
    <row r="437" spans="19:19">
      <c r="S437" s="11" t="s">
        <v>584</v>
      </c>
    </row>
    <row r="438" spans="19:19">
      <c r="S438" s="11" t="s">
        <v>586</v>
      </c>
    </row>
    <row r="439" spans="19:19">
      <c r="S439" s="11" t="s">
        <v>590</v>
      </c>
    </row>
    <row r="440" spans="19:19">
      <c r="S440" s="11" t="s">
        <v>592</v>
      </c>
    </row>
    <row r="441" spans="19:19">
      <c r="S441" s="11" t="s">
        <v>588</v>
      </c>
    </row>
    <row r="442" spans="19:19">
      <c r="S442" s="11" t="s">
        <v>594</v>
      </c>
    </row>
    <row r="443" spans="19:19">
      <c r="S443" s="51" t="s">
        <v>596</v>
      </c>
    </row>
    <row r="444" spans="19:19">
      <c r="S444" s="11" t="s">
        <v>598</v>
      </c>
    </row>
    <row r="445" spans="19:19">
      <c r="S445" s="11" t="s">
        <v>600</v>
      </c>
    </row>
    <row r="446" spans="19:19">
      <c r="S446" s="75" t="s">
        <v>1383</v>
      </c>
    </row>
    <row r="447" spans="19:19">
      <c r="S447" s="75" t="s">
        <v>1385</v>
      </c>
    </row>
    <row r="448" spans="19:19">
      <c r="S448" s="11" t="s">
        <v>36</v>
      </c>
    </row>
    <row r="449" spans="19:19">
      <c r="S449" s="11" t="s">
        <v>38</v>
      </c>
    </row>
    <row r="450" spans="19:19">
      <c r="S450" s="11" t="s">
        <v>40</v>
      </c>
    </row>
    <row r="451" spans="19:19">
      <c r="S451" s="11" t="s">
        <v>34</v>
      </c>
    </row>
    <row r="452" spans="19:19">
      <c r="S452" s="11" t="s">
        <v>602</v>
      </c>
    </row>
    <row r="453" spans="19:19">
      <c r="S453" s="11" t="s">
        <v>604</v>
      </c>
    </row>
    <row r="454" spans="19:19">
      <c r="S454" s="11" t="s">
        <v>606</v>
      </c>
    </row>
    <row r="455" spans="19:19">
      <c r="S455" s="57" t="s">
        <v>654</v>
      </c>
    </row>
    <row r="456" spans="19:19">
      <c r="S456" s="57" t="s">
        <v>648</v>
      </c>
    </row>
    <row r="457" spans="19:19">
      <c r="S457" s="57" t="s">
        <v>650</v>
      </c>
    </row>
    <row r="458" spans="19:19">
      <c r="S458" s="57" t="s">
        <v>652</v>
      </c>
    </row>
    <row r="459" spans="19:19">
      <c r="S459" s="11" t="s">
        <v>616</v>
      </c>
    </row>
    <row r="460" spans="19:19">
      <c r="S460" s="11" t="s">
        <v>608</v>
      </c>
    </row>
    <row r="461" spans="19:19">
      <c r="S461" s="11" t="s">
        <v>610</v>
      </c>
    </row>
    <row r="462" spans="19:19">
      <c r="S462" s="11" t="s">
        <v>612</v>
      </c>
    </row>
    <row r="463" spans="19:19">
      <c r="S463" s="11" t="s">
        <v>614</v>
      </c>
    </row>
    <row r="464" spans="19:19">
      <c r="S464" s="57" t="s">
        <v>644</v>
      </c>
    </row>
    <row r="465" spans="19:19">
      <c r="S465" s="57" t="s">
        <v>636</v>
      </c>
    </row>
    <row r="466" spans="19:19">
      <c r="S466" s="57" t="s">
        <v>638</v>
      </c>
    </row>
    <row r="467" spans="19:19">
      <c r="S467" s="57" t="s">
        <v>640</v>
      </c>
    </row>
    <row r="468" spans="19:19">
      <c r="S468" s="57" t="s">
        <v>642</v>
      </c>
    </row>
    <row r="469" spans="19:19">
      <c r="S469" s="11" t="s">
        <v>624</v>
      </c>
    </row>
    <row r="470" spans="19:19">
      <c r="S470" s="11" t="s">
        <v>618</v>
      </c>
    </row>
    <row r="471" spans="19:19">
      <c r="S471" s="11" t="s">
        <v>620</v>
      </c>
    </row>
    <row r="472" spans="19:19">
      <c r="S472" s="11" t="s">
        <v>622</v>
      </c>
    </row>
    <row r="473" spans="19:19">
      <c r="S473" s="11" t="s">
        <v>634</v>
      </c>
    </row>
    <row r="474" spans="19:19">
      <c r="S474" s="11" t="s">
        <v>626</v>
      </c>
    </row>
    <row r="475" spans="19:19">
      <c r="S475" s="11" t="s">
        <v>628</v>
      </c>
    </row>
    <row r="476" spans="19:19">
      <c r="S476" s="11" t="s">
        <v>630</v>
      </c>
    </row>
    <row r="477" spans="19:19">
      <c r="S477" s="11" t="s">
        <v>632</v>
      </c>
    </row>
    <row r="478" spans="19:19">
      <c r="S478" s="57" t="s">
        <v>646</v>
      </c>
    </row>
    <row r="479" spans="19:19">
      <c r="S479" s="51" t="s">
        <v>656</v>
      </c>
    </row>
    <row r="480" spans="19:19">
      <c r="S480" s="11" t="s">
        <v>658</v>
      </c>
    </row>
    <row r="481" spans="19:19">
      <c r="S481" s="11" t="s">
        <v>660</v>
      </c>
    </row>
    <row r="482" spans="19:19">
      <c r="S482" s="51" t="s">
        <v>662</v>
      </c>
    </row>
    <row r="483" spans="19:19">
      <c r="S483" s="11" t="s">
        <v>664</v>
      </c>
    </row>
    <row r="484" spans="19:19">
      <c r="S484" s="11" t="s">
        <v>666</v>
      </c>
    </row>
    <row r="485" spans="19:19">
      <c r="S485" s="51" t="s">
        <v>668</v>
      </c>
    </row>
    <row r="486" spans="19:19">
      <c r="S486" s="51" t="s">
        <v>670</v>
      </c>
    </row>
    <row r="487" spans="19:19">
      <c r="S487" s="51" t="s">
        <v>672</v>
      </c>
    </row>
    <row r="488" spans="19:19">
      <c r="S488" s="51" t="s">
        <v>674</v>
      </c>
    </row>
    <row r="489" spans="19:19">
      <c r="S489" s="51" t="s">
        <v>676</v>
      </c>
    </row>
    <row r="490" spans="19:19">
      <c r="S490" s="51" t="s">
        <v>678</v>
      </c>
    </row>
    <row r="491" spans="19:19">
      <c r="S491" s="51" t="s">
        <v>680</v>
      </c>
    </row>
    <row r="492" spans="19:19">
      <c r="S492" s="51" t="s">
        <v>682</v>
      </c>
    </row>
    <row r="493" spans="19:19">
      <c r="S493" s="51" t="s">
        <v>684</v>
      </c>
    </row>
    <row r="494" spans="19:19">
      <c r="S494" s="11" t="s">
        <v>686</v>
      </c>
    </row>
    <row r="495" spans="19:19">
      <c r="S495" s="11" t="s">
        <v>688</v>
      </c>
    </row>
    <row r="496" spans="19:19">
      <c r="S496" s="11" t="s">
        <v>690</v>
      </c>
    </row>
    <row r="497" spans="19:19">
      <c r="S497" s="11" t="s">
        <v>692</v>
      </c>
    </row>
    <row r="498" spans="19:19">
      <c r="S498" s="11" t="s">
        <v>694</v>
      </c>
    </row>
    <row r="499" spans="19:19">
      <c r="S499" s="11" t="s">
        <v>696</v>
      </c>
    </row>
    <row r="500" spans="19:19">
      <c r="S500" s="19" t="s">
        <v>78</v>
      </c>
    </row>
    <row r="501" spans="19:19">
      <c r="S501" s="23" t="s">
        <v>80</v>
      </c>
    </row>
    <row r="502" spans="19:19">
      <c r="S502" s="51" t="s">
        <v>698</v>
      </c>
    </row>
    <row r="503" spans="19:19">
      <c r="S503" s="51" t="s">
        <v>700</v>
      </c>
    </row>
    <row r="504" spans="19:19">
      <c r="S504" s="51" t="s">
        <v>702</v>
      </c>
    </row>
    <row r="505" spans="19:19">
      <c r="S505" s="51" t="s">
        <v>704</v>
      </c>
    </row>
    <row r="506" spans="19:19">
      <c r="S506" s="51" t="s">
        <v>706</v>
      </c>
    </row>
    <row r="507" spans="19:19">
      <c r="S507" s="51" t="s">
        <v>708</v>
      </c>
    </row>
    <row r="508" spans="19:19">
      <c r="S508" s="51" t="s">
        <v>710</v>
      </c>
    </row>
    <row r="509" spans="19:19">
      <c r="S509" s="51" t="s">
        <v>712</v>
      </c>
    </row>
    <row r="510" spans="19:19">
      <c r="S510" s="51" t="s">
        <v>714</v>
      </c>
    </row>
    <row r="511" spans="19:19">
      <c r="S511" s="51" t="s">
        <v>716</v>
      </c>
    </row>
    <row r="512" spans="19:19">
      <c r="S512" s="51" t="s">
        <v>718</v>
      </c>
    </row>
    <row r="513" spans="19:19">
      <c r="S513" s="51" t="s">
        <v>720</v>
      </c>
    </row>
    <row r="514" spans="19:19">
      <c r="S514" s="51" t="s">
        <v>722</v>
      </c>
    </row>
    <row r="515" spans="19:19">
      <c r="S515" s="51" t="s">
        <v>724</v>
      </c>
    </row>
    <row r="516" spans="19:19">
      <c r="S516" s="51" t="s">
        <v>726</v>
      </c>
    </row>
    <row r="517" spans="19:19">
      <c r="S517" s="51" t="s">
        <v>728</v>
      </c>
    </row>
    <row r="518" spans="19:19">
      <c r="S518" s="51" t="s">
        <v>730</v>
      </c>
    </row>
    <row r="519" spans="19:19">
      <c r="S519" s="51" t="s">
        <v>732</v>
      </c>
    </row>
    <row r="520" spans="19:19">
      <c r="S520" s="51" t="s">
        <v>734</v>
      </c>
    </row>
    <row r="521" spans="19:19">
      <c r="S521" s="11" t="s">
        <v>1387</v>
      </c>
    </row>
    <row r="522" spans="19:19">
      <c r="S522" s="11" t="s">
        <v>1389</v>
      </c>
    </row>
    <row r="523" spans="19:19">
      <c r="S523" s="11" t="s">
        <v>1391</v>
      </c>
    </row>
    <row r="524" spans="19:19">
      <c r="S524" s="11" t="s">
        <v>1393</v>
      </c>
    </row>
    <row r="525" spans="19:19">
      <c r="S525" s="51" t="s">
        <v>736</v>
      </c>
    </row>
    <row r="526" spans="19:19">
      <c r="S526" s="51" t="s">
        <v>738</v>
      </c>
    </row>
    <row r="527" spans="19:19">
      <c r="S527" s="51" t="s">
        <v>739</v>
      </c>
    </row>
    <row r="528" spans="19:19">
      <c r="S528" s="51" t="s">
        <v>741</v>
      </c>
    </row>
    <row r="529" spans="19:19">
      <c r="S529" s="51" t="s">
        <v>743</v>
      </c>
    </row>
    <row r="530" spans="19:19">
      <c r="S530" s="75" t="s">
        <v>1479</v>
      </c>
    </row>
  </sheetData>
  <mergeCells count="177">
    <mergeCell ref="ZX1:ZZ1"/>
    <mergeCell ref="AAB1:AAD1"/>
    <mergeCell ref="AAF1:AAH1"/>
    <mergeCell ref="AAJ1:AAL1"/>
    <mergeCell ref="AAN1:AAP1"/>
    <mergeCell ref="AAR1:AAT1"/>
    <mergeCell ref="AAV1:AAX1"/>
    <mergeCell ref="AAZ1:ABB1"/>
    <mergeCell ref="ABD1:ABF1"/>
    <mergeCell ref="YN1:YP1"/>
    <mergeCell ref="YR1:YT1"/>
    <mergeCell ref="YV1:YX1"/>
    <mergeCell ref="YZ1:ZB1"/>
    <mergeCell ref="ZD1:ZF1"/>
    <mergeCell ref="ZH1:ZJ1"/>
    <mergeCell ref="ZL1:ZN1"/>
    <mergeCell ref="ZP1:ZR1"/>
    <mergeCell ref="ZT1:ZV1"/>
    <mergeCell ref="XD1:XF1"/>
    <mergeCell ref="XH1:XJ1"/>
    <mergeCell ref="XL1:XN1"/>
    <mergeCell ref="XP1:XR1"/>
    <mergeCell ref="XT1:XV1"/>
    <mergeCell ref="XX1:XZ1"/>
    <mergeCell ref="YB1:YD1"/>
    <mergeCell ref="YF1:YH1"/>
    <mergeCell ref="YJ1:YL1"/>
    <mergeCell ref="VT1:VV1"/>
    <mergeCell ref="VX1:VZ1"/>
    <mergeCell ref="WB1:WD1"/>
    <mergeCell ref="WF1:WH1"/>
    <mergeCell ref="WJ1:WL1"/>
    <mergeCell ref="WN1:WP1"/>
    <mergeCell ref="WR1:WT1"/>
    <mergeCell ref="WV1:WX1"/>
    <mergeCell ref="WZ1:XB1"/>
    <mergeCell ref="UJ1:UL1"/>
    <mergeCell ref="UN1:UP1"/>
    <mergeCell ref="UR1:UT1"/>
    <mergeCell ref="UV1:UX1"/>
    <mergeCell ref="UZ1:VB1"/>
    <mergeCell ref="VD1:VF1"/>
    <mergeCell ref="VH1:VJ1"/>
    <mergeCell ref="VL1:VN1"/>
    <mergeCell ref="VP1:VR1"/>
    <mergeCell ref="QZ1:RB1"/>
    <mergeCell ref="NT1:NV1"/>
    <mergeCell ref="IL1:IN1"/>
    <mergeCell ref="IP1:IR1"/>
    <mergeCell ref="IT1:IV1"/>
    <mergeCell ref="IX1:IZ1"/>
    <mergeCell ref="NP1:NR1"/>
    <mergeCell ref="JB1:JD1"/>
    <mergeCell ref="JZ1:KB1"/>
    <mergeCell ref="KD1:KF1"/>
    <mergeCell ref="KH1:KJ1"/>
    <mergeCell ref="JF1:JH1"/>
    <mergeCell ref="JJ1:JL1"/>
    <mergeCell ref="JN1:JP1"/>
    <mergeCell ref="NL1:NN1"/>
    <mergeCell ref="ML1:MN1"/>
    <mergeCell ref="MP1:MR1"/>
    <mergeCell ref="MT1:MV1"/>
    <mergeCell ref="MX1:NC1"/>
    <mergeCell ref="NH1:NJ1"/>
    <mergeCell ref="OJ1:OL1"/>
    <mergeCell ref="ON1:OP1"/>
    <mergeCell ref="OR1:OT1"/>
    <mergeCell ref="NX1:NZ1"/>
    <mergeCell ref="HN1:HP1"/>
    <mergeCell ref="JR1:JT1"/>
    <mergeCell ref="JV1:JX1"/>
    <mergeCell ref="MH1:MJ1"/>
    <mergeCell ref="HR1:HT1"/>
    <mergeCell ref="HV1:HX1"/>
    <mergeCell ref="HZ1:IB1"/>
    <mergeCell ref="ID1:IF1"/>
    <mergeCell ref="IH1:IJ1"/>
    <mergeCell ref="KL1:KN1"/>
    <mergeCell ref="KP1:KR1"/>
    <mergeCell ref="KT1:KV1"/>
    <mergeCell ref="KX1:KZ1"/>
    <mergeCell ref="LB1:LD1"/>
    <mergeCell ref="MD1:MF1"/>
    <mergeCell ref="LF1:LH1"/>
    <mergeCell ref="LJ1:LL1"/>
    <mergeCell ref="LN1:LP1"/>
    <mergeCell ref="LR1:LT1"/>
    <mergeCell ref="LV1:LX1"/>
    <mergeCell ref="LZ1:MB1"/>
    <mergeCell ref="GD1:GF1"/>
    <mergeCell ref="GH1:GJ1"/>
    <mergeCell ref="GL1:GN1"/>
    <mergeCell ref="GP1:GR1"/>
    <mergeCell ref="GT1:GV1"/>
    <mergeCell ref="GX1:GZ1"/>
    <mergeCell ref="HB1:HD1"/>
    <mergeCell ref="HF1:HH1"/>
    <mergeCell ref="HJ1:HL1"/>
    <mergeCell ref="FN1:FP1"/>
    <mergeCell ref="FR1:FT1"/>
    <mergeCell ref="FV1:FX1"/>
    <mergeCell ref="FZ1:GB1"/>
    <mergeCell ref="ET1:EV1"/>
    <mergeCell ref="EX1:EZ1"/>
    <mergeCell ref="FB1:FD1"/>
    <mergeCell ref="FF1:FH1"/>
    <mergeCell ref="FJ1:FL1"/>
    <mergeCell ref="U1:W1"/>
    <mergeCell ref="BI1:BK1"/>
    <mergeCell ref="BM1:BO1"/>
    <mergeCell ref="BR1:BT1"/>
    <mergeCell ref="BV1:BX1"/>
    <mergeCell ref="BE1:BG1"/>
    <mergeCell ref="Y1:AA1"/>
    <mergeCell ref="AC1:AE1"/>
    <mergeCell ref="AG1:AI1"/>
    <mergeCell ref="BA1:BC1"/>
    <mergeCell ref="AK1:AM1"/>
    <mergeCell ref="AO1:AQ1"/>
    <mergeCell ref="AS1:AU1"/>
    <mergeCell ref="AW1:AY1"/>
    <mergeCell ref="DZ1:EB1"/>
    <mergeCell ref="ED1:EF1"/>
    <mergeCell ref="EH1:EJ1"/>
    <mergeCell ref="EL1:EN1"/>
    <mergeCell ref="EP1:ER1"/>
    <mergeCell ref="CT1:CV1"/>
    <mergeCell ref="CX1:CZ1"/>
    <mergeCell ref="BZ1:CB1"/>
    <mergeCell ref="CD1:CF1"/>
    <mergeCell ref="CH1:CJ1"/>
    <mergeCell ref="CL1:CN1"/>
    <mergeCell ref="CP1:CR1"/>
    <mergeCell ref="DV1:DX1"/>
    <mergeCell ref="DB1:DD1"/>
    <mergeCell ref="DF1:DH1"/>
    <mergeCell ref="DJ1:DL1"/>
    <mergeCell ref="DN1:DP1"/>
    <mergeCell ref="DR1:DT1"/>
    <mergeCell ref="QR1:QT1"/>
    <mergeCell ref="QV1:QX1"/>
    <mergeCell ref="PH1:PJ1"/>
    <mergeCell ref="PL1:PN1"/>
    <mergeCell ref="PP1:PR1"/>
    <mergeCell ref="PT1:PV1"/>
    <mergeCell ref="PX1:PZ1"/>
    <mergeCell ref="OB1:OD1"/>
    <mergeCell ref="OF1:OH1"/>
    <mergeCell ref="OV1:OX1"/>
    <mergeCell ref="OZ1:PB1"/>
    <mergeCell ref="PD1:PF1"/>
    <mergeCell ref="QB1:QD1"/>
    <mergeCell ref="QF1:QH1"/>
    <mergeCell ref="QJ1:QL1"/>
    <mergeCell ref="QN1:QP1"/>
    <mergeCell ref="RD1:RF1"/>
    <mergeCell ref="RH1:RJ1"/>
    <mergeCell ref="RL1:RN1"/>
    <mergeCell ref="RP1:RR1"/>
    <mergeCell ref="RT1:RV1"/>
    <mergeCell ref="RX1:RZ1"/>
    <mergeCell ref="SB1:SD1"/>
    <mergeCell ref="SF1:SH1"/>
    <mergeCell ref="SJ1:SL1"/>
    <mergeCell ref="TX1:TZ1"/>
    <mergeCell ref="UB1:UD1"/>
    <mergeCell ref="UF1:UH1"/>
    <mergeCell ref="TP1:TR1"/>
    <mergeCell ref="TT1:TV1"/>
    <mergeCell ref="SN1:SP1"/>
    <mergeCell ref="SR1:ST1"/>
    <mergeCell ref="SV1:SX1"/>
    <mergeCell ref="SZ1:TB1"/>
    <mergeCell ref="TD1:TF1"/>
    <mergeCell ref="TH1:TJ1"/>
    <mergeCell ref="TL1:TN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B2:Z43"/>
  <sheetViews>
    <sheetView topLeftCell="A31" zoomScale="40" zoomScaleNormal="40" zoomScaleSheetLayoutView="25" workbookViewId="0">
      <selection activeCell="X17" sqref="X17"/>
    </sheetView>
  </sheetViews>
  <sheetFormatPr defaultRowHeight="34.5"/>
  <cols>
    <col min="1" max="1" width="3.7109375" style="256" customWidth="1"/>
    <col min="2" max="2" width="8" style="256" customWidth="1"/>
    <col min="3" max="3" width="9.140625" style="256"/>
    <col min="4" max="4" width="15.28515625" style="256" customWidth="1"/>
    <col min="5" max="5" width="9.140625" style="256"/>
    <col min="6" max="6" width="12" style="256" customWidth="1"/>
    <col min="7" max="7" width="23.28515625" style="256" customWidth="1"/>
    <col min="8" max="8" width="13.42578125" style="256" customWidth="1"/>
    <col min="9" max="9" width="30.5703125" style="256" customWidth="1"/>
    <col min="10" max="10" width="7.85546875" style="256" customWidth="1"/>
    <col min="11" max="13" width="9.140625" style="256"/>
    <col min="14" max="14" width="14.140625" style="256" customWidth="1"/>
    <col min="15" max="15" width="9.140625" style="256"/>
    <col min="16" max="16" width="30.28515625" style="256" customWidth="1"/>
    <col min="17" max="17" width="31.42578125" style="256" customWidth="1"/>
    <col min="18" max="18" width="72.140625" style="256" customWidth="1"/>
    <col min="19" max="19" width="19" style="256" customWidth="1"/>
    <col min="20" max="20" width="13.5703125" style="256" customWidth="1"/>
    <col min="21" max="21" width="34.7109375" style="256" customWidth="1"/>
    <col min="22" max="22" width="11.5703125" style="256" customWidth="1"/>
    <col min="23" max="23" width="48.140625" style="385" bestFit="1" customWidth="1"/>
    <col min="24" max="24" width="12.7109375" style="256" customWidth="1"/>
    <col min="25" max="25" width="46" style="385" customWidth="1"/>
    <col min="26" max="26" width="9.140625" style="256" hidden="1" customWidth="1"/>
    <col min="27" max="16384" width="9.140625" style="256"/>
  </cols>
  <sheetData>
    <row r="2" spans="3:25" ht="35.25" thickBot="1">
      <c r="L2" s="385" t="s">
        <v>2212</v>
      </c>
      <c r="M2" s="385"/>
    </row>
    <row r="3" spans="3:25" s="283" customFormat="1" ht="38.25" customHeight="1" thickTop="1">
      <c r="C3" s="605" t="str">
        <f>Inputs!E7</f>
        <v>Tri-State</v>
      </c>
      <c r="D3" s="606"/>
      <c r="E3" s="606"/>
      <c r="F3" s="606"/>
      <c r="G3" s="606"/>
      <c r="H3" s="606"/>
      <c r="I3" s="607"/>
      <c r="L3" s="385" t="s">
        <v>2213</v>
      </c>
      <c r="M3" s="385"/>
      <c r="S3" s="626" t="s">
        <v>2212</v>
      </c>
      <c r="T3" s="627"/>
      <c r="U3" s="627"/>
      <c r="V3" s="627"/>
      <c r="W3" s="627"/>
      <c r="X3" s="627"/>
      <c r="Y3" s="628"/>
    </row>
    <row r="4" spans="3:25" s="283" customFormat="1" ht="36.75" customHeight="1">
      <c r="C4" s="608"/>
      <c r="D4" s="609"/>
      <c r="E4" s="609"/>
      <c r="F4" s="609"/>
      <c r="G4" s="609"/>
      <c r="H4" s="609"/>
      <c r="I4" s="610"/>
      <c r="L4" s="385"/>
      <c r="M4" s="385"/>
      <c r="S4" s="407" t="str">
        <f>"PO#: "&amp;Inputs!E33</f>
        <v>PO#: 10544351</v>
      </c>
      <c r="T4" s="408"/>
      <c r="U4" s="408"/>
      <c r="V4" s="408"/>
      <c r="W4" s="639" t="str">
        <f ca="1">"Date:       "&amp;TEXT(Inputs!E53,"mm/dd/yy")</f>
        <v>Date:       03/05/14</v>
      </c>
      <c r="X4" s="639"/>
      <c r="Y4" s="640"/>
    </row>
    <row r="5" spans="3:25" s="283" customFormat="1">
      <c r="C5" s="608"/>
      <c r="D5" s="609"/>
      <c r="E5" s="609"/>
      <c r="F5" s="609"/>
      <c r="G5" s="609"/>
      <c r="H5" s="609"/>
      <c r="I5" s="610"/>
      <c r="L5" s="385" t="str">
        <f>"ATTN: "&amp;UPPER(Inputs!E12)</f>
        <v>ATTN: ACCOUNTS PAYABLE</v>
      </c>
      <c r="M5" s="385"/>
      <c r="S5" s="394"/>
      <c r="T5" s="395"/>
      <c r="U5" s="395"/>
      <c r="V5" s="395"/>
      <c r="W5" s="392"/>
      <c r="X5" s="395"/>
      <c r="Y5" s="393"/>
    </row>
    <row r="6" spans="3:25" s="283" customFormat="1" ht="30.75" customHeight="1" thickBot="1">
      <c r="C6" s="611"/>
      <c r="D6" s="612"/>
      <c r="E6" s="612"/>
      <c r="F6" s="612"/>
      <c r="G6" s="612"/>
      <c r="H6" s="612"/>
      <c r="I6" s="613"/>
      <c r="L6" s="385" t="str">
        <f>UPPER(Inputs!E13)</f>
        <v>PO BOX 1288</v>
      </c>
      <c r="M6" s="385"/>
      <c r="W6" s="385"/>
      <c r="Y6" s="385"/>
    </row>
    <row r="7" spans="3:25" s="283" customFormat="1" ht="35.25" thickTop="1">
      <c r="L7" s="385" t="str">
        <f>UPPER(Inputs!E14)&amp;", "&amp;UPPER(Inputs!E15)&amp;" "&amp;UPPER(Inputs!E16)</f>
        <v>MELVILLE, NY 11747</v>
      </c>
      <c r="M7" s="385"/>
      <c r="W7" s="385"/>
      <c r="Y7" s="385"/>
    </row>
    <row r="8" spans="3:25" s="283" customFormat="1">
      <c r="L8" s="385" t="str">
        <f>"PHONE: "&amp;Inputs!E17</f>
        <v>PHONE: (631)-843-5500</v>
      </c>
      <c r="M8" s="385"/>
      <c r="W8" s="385"/>
      <c r="Y8" s="385"/>
    </row>
    <row r="9" spans="3:25" ht="38.25" customHeight="1"/>
    <row r="10" spans="3:25" s="385" customFormat="1" ht="37.5">
      <c r="D10" s="401" t="str">
        <f>Inputs!D44&amp;Inputs!E44</f>
        <v>Vendor Acct #   518800</v>
      </c>
      <c r="E10" s="386"/>
      <c r="F10" s="386"/>
      <c r="G10" s="386"/>
      <c r="H10" s="386"/>
      <c r="I10" s="386"/>
      <c r="J10" s="386"/>
      <c r="K10" s="386"/>
      <c r="L10" s="387"/>
      <c r="O10" s="401" t="str">
        <f>Inputs!E20</f>
        <v>Lawrence Joseph</v>
      </c>
      <c r="P10" s="386"/>
      <c r="Q10" s="386"/>
      <c r="R10" s="386"/>
      <c r="S10" s="386"/>
      <c r="T10" s="386"/>
      <c r="U10" s="386"/>
      <c r="V10" s="386"/>
      <c r="W10" s="387"/>
    </row>
    <row r="11" spans="3:25" s="385" customFormat="1" ht="37.5">
      <c r="D11" s="402" t="str">
        <f>Inputs!E43</f>
        <v>BELMONT EQUIPMENT</v>
      </c>
      <c r="E11" s="389"/>
      <c r="F11" s="389"/>
      <c r="G11" s="389"/>
      <c r="H11" s="389"/>
      <c r="I11" s="389"/>
      <c r="J11" s="389"/>
      <c r="K11" s="389"/>
      <c r="L11" s="390"/>
      <c r="O11" s="402" t="str">
        <f>"M/F "&amp;Inputs!E26</f>
        <v>M/F TECH- LEE GOSS</v>
      </c>
      <c r="P11" s="389"/>
      <c r="Q11" s="389"/>
      <c r="R11" s="389"/>
      <c r="S11" s="389"/>
      <c r="T11" s="389"/>
      <c r="U11" s="389"/>
      <c r="V11" s="389"/>
      <c r="W11" s="390"/>
    </row>
    <row r="12" spans="3:25" s="385" customFormat="1" ht="37.5">
      <c r="D12" s="402" t="str">
        <f>Inputs!E45</f>
        <v>101 BELMONT DRIVE</v>
      </c>
      <c r="E12" s="389"/>
      <c r="F12" s="389"/>
      <c r="G12" s="389"/>
      <c r="H12" s="389"/>
      <c r="I12" s="389"/>
      <c r="J12" s="389"/>
      <c r="K12" s="389"/>
      <c r="L12" s="390"/>
      <c r="O12" s="402" t="str">
        <f>Inputs!E19</f>
        <v>South Shore Dental Group</v>
      </c>
      <c r="P12" s="389"/>
      <c r="Q12" s="389"/>
      <c r="R12" s="389"/>
      <c r="S12" s="389"/>
      <c r="T12" s="389"/>
      <c r="U12" s="389"/>
      <c r="V12" s="389"/>
      <c r="W12" s="390"/>
    </row>
    <row r="13" spans="3:25" s="385" customFormat="1" ht="37.5">
      <c r="D13" s="402" t="str">
        <f>Inputs!E46&amp;", "&amp;Inputs!E47&amp;" "&amp;Inputs!E48</f>
        <v>SOMERSET, NJ 08873-1204</v>
      </c>
      <c r="E13" s="389"/>
      <c r="F13" s="389"/>
      <c r="G13" s="389"/>
      <c r="H13" s="389"/>
      <c r="I13" s="389"/>
      <c r="J13" s="389"/>
      <c r="K13" s="389"/>
      <c r="L13" s="390"/>
      <c r="O13" s="402" t="str">
        <f>Inputs!E21</f>
        <v>300 Granite Street</v>
      </c>
      <c r="P13" s="389"/>
      <c r="Q13" s="389"/>
      <c r="R13" s="389"/>
      <c r="S13" s="389"/>
      <c r="T13" s="389"/>
      <c r="U13" s="389"/>
      <c r="V13" s="389"/>
      <c r="W13" s="390"/>
    </row>
    <row r="14" spans="3:25" s="385" customFormat="1" ht="37.5">
      <c r="D14" s="388"/>
      <c r="E14" s="389"/>
      <c r="F14" s="389"/>
      <c r="G14" s="389"/>
      <c r="H14" s="389"/>
      <c r="I14" s="389"/>
      <c r="J14" s="389"/>
      <c r="K14" s="389"/>
      <c r="L14" s="390"/>
      <c r="O14" s="402" t="str">
        <f>Inputs!E22&amp;", "&amp;Inputs!E23&amp;" "&amp;Inputs!E24</f>
        <v>Braintree, MA 02184-3957</v>
      </c>
      <c r="P14" s="389"/>
      <c r="Q14" s="389"/>
      <c r="R14" s="389"/>
      <c r="S14" s="389"/>
      <c r="T14" s="389"/>
      <c r="U14" s="389"/>
      <c r="V14" s="389"/>
      <c r="W14" s="390"/>
    </row>
    <row r="15" spans="3:25" s="385" customFormat="1" ht="37.5">
      <c r="D15" s="391"/>
      <c r="E15" s="392"/>
      <c r="F15" s="392"/>
      <c r="G15" s="392"/>
      <c r="H15" s="392"/>
      <c r="I15" s="392"/>
      <c r="J15" s="392"/>
      <c r="K15" s="392"/>
      <c r="L15" s="393"/>
      <c r="O15" s="403"/>
      <c r="P15" s="392"/>
      <c r="Q15" s="392"/>
      <c r="R15" s="392"/>
      <c r="S15" s="392"/>
      <c r="T15" s="392"/>
      <c r="U15" s="392"/>
      <c r="V15" s="392"/>
      <c r="W15" s="393"/>
    </row>
    <row r="16" spans="3:25" s="283" customFormat="1" ht="31.5" customHeight="1">
      <c r="D16" s="283" t="str">
        <f>Inputs!E49</f>
        <v>VAL/ROB/ROSE/MICHAEL</v>
      </c>
      <c r="W16" s="385"/>
      <c r="Y16" s="385"/>
    </row>
    <row r="17" spans="2:25" s="283" customFormat="1">
      <c r="D17" s="283" t="str">
        <f>"PHN: "&amp;Inputs!E50</f>
        <v>PHN: 1-800-223-1192</v>
      </c>
      <c r="W17" s="385"/>
      <c r="Y17" s="385"/>
    </row>
    <row r="18" spans="2:25" s="283" customFormat="1">
      <c r="D18" s="283" t="str">
        <f>"FAX: "&amp;Inputs!E51</f>
        <v>FAX: 732-356-1035</v>
      </c>
      <c r="S18" s="283" t="str">
        <f>"PLEASE SHIP "&amp;UPPER(Inputs!E35)</f>
        <v>PLEASE SHIP GROUND</v>
      </c>
      <c r="W18" s="385"/>
      <c r="Y18" s="385"/>
    </row>
    <row r="19" spans="2:25" s="283" customFormat="1" ht="21.75" customHeight="1" thickBot="1">
      <c r="W19" s="385"/>
      <c r="Y19" s="385"/>
    </row>
    <row r="20" spans="2:25" ht="126.75" customHeight="1" thickTop="1">
      <c r="B20" s="406">
        <f ca="1">Inputs!E53</f>
        <v>41703</v>
      </c>
      <c r="H20" s="597"/>
      <c r="I20" s="598"/>
      <c r="J20" s="598"/>
      <c r="K20" s="598"/>
      <c r="L20" s="598"/>
      <c r="M20" s="598"/>
      <c r="N20" s="598"/>
      <c r="O20" s="598"/>
      <c r="P20" s="598"/>
      <c r="Q20" s="598"/>
      <c r="R20" s="598"/>
      <c r="S20" s="598"/>
      <c r="T20" s="598"/>
      <c r="U20" s="598"/>
      <c r="V20" s="598"/>
      <c r="W20" s="598"/>
      <c r="X20" s="599"/>
    </row>
    <row r="21" spans="2:25" ht="35.25" thickBot="1">
      <c r="C21" s="638" t="s">
        <v>2232</v>
      </c>
      <c r="D21" s="638"/>
      <c r="E21" s="638"/>
      <c r="F21" s="638"/>
      <c r="H21" s="600"/>
      <c r="I21" s="601"/>
      <c r="J21" s="601"/>
      <c r="K21" s="601"/>
      <c r="L21" s="601"/>
      <c r="M21" s="601"/>
      <c r="N21" s="601"/>
      <c r="O21" s="601"/>
      <c r="P21" s="601"/>
      <c r="Q21" s="601"/>
      <c r="R21" s="601"/>
      <c r="S21" s="601"/>
      <c r="T21" s="601"/>
      <c r="U21" s="601"/>
      <c r="V21" s="601"/>
      <c r="W21" s="601"/>
      <c r="X21" s="602"/>
    </row>
    <row r="22" spans="2:25" ht="35.25" thickTop="1">
      <c r="C22" s="630"/>
      <c r="D22" s="631"/>
      <c r="E22" s="631"/>
      <c r="F22" s="632"/>
    </row>
    <row r="23" spans="2:25" ht="15" customHeight="1">
      <c r="C23" s="633"/>
      <c r="D23" s="580"/>
      <c r="E23" s="580"/>
      <c r="F23" s="634"/>
    </row>
    <row r="24" spans="2:25">
      <c r="C24" s="635"/>
      <c r="D24" s="636"/>
      <c r="E24" s="636"/>
      <c r="F24" s="637"/>
    </row>
    <row r="25" spans="2:25">
      <c r="G25" s="400" t="s">
        <v>2225</v>
      </c>
      <c r="H25" s="400"/>
      <c r="I25" s="400" t="s">
        <v>2226</v>
      </c>
      <c r="J25" s="400"/>
      <c r="K25" s="400" t="s">
        <v>2227</v>
      </c>
      <c r="L25" s="400"/>
      <c r="M25" s="400"/>
      <c r="N25" s="400"/>
      <c r="O25" s="400" t="s">
        <v>2228</v>
      </c>
      <c r="P25" s="400"/>
      <c r="Q25" s="400"/>
      <c r="R25" s="400" t="s">
        <v>2229</v>
      </c>
      <c r="S25" s="400"/>
      <c r="T25" s="400"/>
      <c r="U25" s="400"/>
      <c r="V25" s="384"/>
      <c r="W25" s="400" t="s">
        <v>2230</v>
      </c>
      <c r="X25" s="384"/>
      <c r="Y25" s="400" t="s">
        <v>2231</v>
      </c>
    </row>
    <row r="26" spans="2:25" ht="120.75" customHeight="1">
      <c r="C26" s="615"/>
      <c r="D26" s="616"/>
      <c r="E26" s="616"/>
      <c r="F26" s="617"/>
      <c r="G26" s="396"/>
      <c r="H26" s="396"/>
      <c r="I26" s="625" t="str">
        <f>IF(Inputs!E56&lt;&gt;"","Source # "&amp;Inputs!E56,"")&amp;"   "&amp; IF(Inputs!E57&lt;&gt;"","Requisition # "&amp;Inputs!E57,"") &amp;"                                                                                                           "&amp;S18&amp;"                                                                          "&amp;Inputs!E58&amp;"                                "&amp;Inputs!E59</f>
        <v>Source # WN08132287   Requisition # ON08220132                                                                                                           PLEASE SHIP GROUND                                                                          ANY QUESTIONS PLEASE CALL JASMINE EXT 8699                                jasmine@henryschein.com</v>
      </c>
      <c r="J26" s="625"/>
      <c r="K26" s="625"/>
      <c r="L26" s="625"/>
      <c r="M26" s="625"/>
      <c r="N26" s="625"/>
      <c r="O26" s="625"/>
      <c r="P26" s="625"/>
      <c r="Q26" s="625"/>
      <c r="R26" s="396"/>
      <c r="S26" s="396"/>
      <c r="T26" s="396"/>
      <c r="U26" s="396"/>
      <c r="V26" s="396"/>
      <c r="W26" s="386"/>
      <c r="X26" s="396"/>
      <c r="Y26" s="387"/>
    </row>
    <row r="27" spans="2:25" ht="75.75" customHeight="1">
      <c r="B27" s="596" t="str">
        <f>"To: "&amp;Inputs!E51&amp;" "&amp;Inputs!E43</f>
        <v>To: 732-356-1035 BELMONT EQUIPMENT</v>
      </c>
      <c r="C27" s="618"/>
      <c r="D27" s="619"/>
      <c r="E27" s="619"/>
      <c r="F27" s="620"/>
      <c r="G27" s="397"/>
      <c r="H27" s="397"/>
      <c r="I27" s="404" t="str">
        <f>IF(Config!F33&lt;&gt;"",Config!F33,"")</f>
        <v>QDU-5479</v>
      </c>
      <c r="J27" s="404"/>
      <c r="K27" s="404"/>
      <c r="L27" s="404"/>
      <c r="M27" s="404">
        <f>IF(Config!N33&lt;&gt;"",Config!N33,"")</f>
        <v>1</v>
      </c>
      <c r="N27" s="404"/>
      <c r="O27" s="404"/>
      <c r="P27" s="629" t="str">
        <f>IF(Config!S33&lt;&gt;"",UPPER(Config!S33),"")</f>
        <v>DELIVERY SYSTEM, SWING-MOUNTED DR. CNTL. WITH MONITOR ARM , L/R CUSPIDOR &amp; J-BOX</v>
      </c>
      <c r="Q27" s="629"/>
      <c r="R27" s="629"/>
      <c r="S27" s="629"/>
      <c r="T27" s="629"/>
      <c r="U27" s="629"/>
      <c r="V27" s="629"/>
      <c r="W27" s="424">
        <f>IF(Config!W33&lt;&gt;0,Config!W33,"")</f>
        <v>7586</v>
      </c>
      <c r="X27" s="424"/>
      <c r="Y27" s="425">
        <f>IF(ISERROR(Config!N33*'Customer Purchase Order'!W27),"",Config!N33*'Customer Purchase Order'!W27)</f>
        <v>7586</v>
      </c>
    </row>
    <row r="28" spans="2:25" ht="75.75" customHeight="1">
      <c r="B28" s="596"/>
      <c r="C28" s="618"/>
      <c r="D28" s="619"/>
      <c r="E28" s="619"/>
      <c r="F28" s="620"/>
      <c r="G28" s="398"/>
      <c r="H28" s="398"/>
      <c r="I28" s="405" t="str">
        <f>IF(Config!F34&lt;&gt;"",Config!F34,"")</f>
        <v>Q-5000</v>
      </c>
      <c r="J28" s="405"/>
      <c r="K28" s="405"/>
      <c r="L28" s="405"/>
      <c r="M28" s="405">
        <f>IF(Config!N34&lt;&gt;"",Config!N34,"")</f>
        <v>1</v>
      </c>
      <c r="N28" s="405"/>
      <c r="O28" s="405"/>
      <c r="P28" s="624" t="str">
        <f>IF(Config!S34&lt;&gt;"",UPPER(Config!S34),"")</f>
        <v>CHAIR, QUOLIS™ , (QSS &amp; QSW STYLES W/ ULTRALEATHER™ UPHOLSTERY, STD. COLORS)</v>
      </c>
      <c r="Q28" s="624"/>
      <c r="R28" s="624"/>
      <c r="S28" s="624"/>
      <c r="T28" s="624"/>
      <c r="U28" s="624"/>
      <c r="V28" s="624"/>
      <c r="W28" s="426">
        <f>IF(Config!W34&lt;&gt;0,Config!W34,"")</f>
        <v>6180.5</v>
      </c>
      <c r="X28" s="426"/>
      <c r="Y28" s="427">
        <f>IF(ISERROR(Config!N34*'Customer Purchase Order'!W28),"",Config!N34*'Customer Purchase Order'!W28)</f>
        <v>6180.5</v>
      </c>
    </row>
    <row r="29" spans="2:25" ht="75.75" customHeight="1">
      <c r="B29" s="596"/>
      <c r="C29" s="618"/>
      <c r="D29" s="619"/>
      <c r="E29" s="619"/>
      <c r="F29" s="620"/>
      <c r="G29" s="398"/>
      <c r="H29" s="398"/>
      <c r="I29" s="405" t="str">
        <f>IF(Config!F35&lt;&gt;"",Config!F35,"")</f>
        <v>097WK31</v>
      </c>
      <c r="J29" s="405"/>
      <c r="K29" s="405"/>
      <c r="L29" s="405"/>
      <c r="M29" s="405">
        <f>IF(Config!N35&lt;&gt;"",Config!N35,"")</f>
        <v>1</v>
      </c>
      <c r="N29" s="405"/>
      <c r="O29" s="405"/>
      <c r="P29" s="624" t="str">
        <f>IF(Config!S35&lt;&gt;"",UPPER(Config!S35),"")</f>
        <v>X-RAY, BEL-RAY II INTRA-ORAL, AC, 31" ARM</v>
      </c>
      <c r="Q29" s="624"/>
      <c r="R29" s="624"/>
      <c r="S29" s="624"/>
      <c r="T29" s="624"/>
      <c r="U29" s="624"/>
      <c r="V29" s="624"/>
      <c r="W29" s="426">
        <f>IF(Config!W35&lt;&gt;0,Config!W35,"")</f>
        <v>3018</v>
      </c>
      <c r="X29" s="426"/>
      <c r="Y29" s="427">
        <f>IF(ISERROR(Config!N35*'Customer Purchase Order'!W29),"",Config!N35*'Customer Purchase Order'!W29)</f>
        <v>3018</v>
      </c>
    </row>
    <row r="30" spans="2:25" ht="75.75" customHeight="1">
      <c r="B30" s="596"/>
      <c r="C30" s="618"/>
      <c r="D30" s="619"/>
      <c r="E30" s="619"/>
      <c r="F30" s="620"/>
      <c r="G30" s="398"/>
      <c r="H30" s="398"/>
      <c r="I30" s="405" t="str">
        <f>IF(Config!F36&lt;&gt;"",Config!F36,"")</f>
        <v>D-42</v>
      </c>
      <c r="J30" s="405"/>
      <c r="K30" s="405"/>
      <c r="L30" s="405"/>
      <c r="M30" s="405">
        <f>IF(Config!N36&lt;&gt;"",Config!N36,"")</f>
        <v>1</v>
      </c>
      <c r="N30" s="405"/>
      <c r="O30" s="405"/>
      <c r="P30" s="624" t="str">
        <f>IF(Config!S36&lt;&gt;"",UPPER(Config!S36),"")</f>
        <v>CABINET, X-RAY PASS THROUGH, 42" WIDE</v>
      </c>
      <c r="Q30" s="624"/>
      <c r="R30" s="624"/>
      <c r="S30" s="624"/>
      <c r="T30" s="624"/>
      <c r="U30" s="624"/>
      <c r="V30" s="624"/>
      <c r="W30" s="426">
        <f>IF(Config!W36&lt;&gt;0,Config!W36,"")</f>
        <v>950.5</v>
      </c>
      <c r="X30" s="426"/>
      <c r="Y30" s="427">
        <f>IF(ISERROR(Config!N36*'Customer Purchase Order'!W30),"",Config!N36*'Customer Purchase Order'!W30)</f>
        <v>950.5</v>
      </c>
    </row>
    <row r="31" spans="2:25" ht="75.75" customHeight="1">
      <c r="B31" s="596"/>
      <c r="C31" s="618"/>
      <c r="D31" s="619"/>
      <c r="E31" s="619"/>
      <c r="F31" s="620"/>
      <c r="G31" s="398"/>
      <c r="H31" s="398"/>
      <c r="I31" s="405" t="str">
        <f>IF(Config!F37&lt;&gt;"",Config!F37,"")</f>
        <v>091</v>
      </c>
      <c r="J31" s="405"/>
      <c r="K31" s="405"/>
      <c r="L31" s="405"/>
      <c r="M31" s="405">
        <f>IF(Config!N37&lt;&gt;"",Config!N37,"")</f>
        <v>1</v>
      </c>
      <c r="N31" s="405"/>
      <c r="O31" s="405"/>
      <c r="P31" s="624" t="str">
        <f>IF(Config!S37&lt;&gt;"",UPPER(Config!S37),"")</f>
        <v>STOOL, ASSISTANT, 20"-26" HEIGHT, DURATION, STD. COLORS                                                                                                                                                    (SPECIFY RIGHT OR LEFT HAND ARMREST)</v>
      </c>
      <c r="Q31" s="624"/>
      <c r="R31" s="624"/>
      <c r="S31" s="624"/>
      <c r="T31" s="624"/>
      <c r="U31" s="624"/>
      <c r="V31" s="624"/>
      <c r="W31" s="426">
        <f>IF(Config!W37&lt;&gt;0,Config!W37,"")</f>
        <v>463.5</v>
      </c>
      <c r="X31" s="426"/>
      <c r="Y31" s="427">
        <f>IF(ISERROR(Config!N37*'Customer Purchase Order'!W31),"",Config!N37*'Customer Purchase Order'!W31)</f>
        <v>463.5</v>
      </c>
    </row>
    <row r="32" spans="2:25" ht="75.75" customHeight="1">
      <c r="B32" s="596"/>
      <c r="C32" s="618"/>
      <c r="D32" s="619"/>
      <c r="E32" s="619"/>
      <c r="F32" s="620"/>
      <c r="G32" s="398"/>
      <c r="H32" s="398"/>
      <c r="I32" s="405" t="str">
        <f>IF(Config!F38&lt;&gt;"",Config!F38,"")</f>
        <v>AL-518T</v>
      </c>
      <c r="J32" s="405"/>
      <c r="K32" s="405"/>
      <c r="L32" s="405"/>
      <c r="M32" s="405">
        <f>IF(Config!N38&lt;&gt;"",Config!N38,"")</f>
        <v>1</v>
      </c>
      <c r="N32" s="405"/>
      <c r="O32" s="405"/>
      <c r="P32" s="624" t="str">
        <f>IF(Config!S38&lt;&gt;"",UPPER(Config!S38),"")</f>
        <v>LIGHT, WALL MOUNT, CLESTA</v>
      </c>
      <c r="Q32" s="624"/>
      <c r="R32" s="624"/>
      <c r="S32" s="624"/>
      <c r="T32" s="624"/>
      <c r="U32" s="624"/>
      <c r="V32" s="624"/>
      <c r="W32" s="426">
        <f>IF(Config!W38&lt;&gt;0,Config!W38,"")</f>
        <v>1774.5</v>
      </c>
      <c r="X32" s="426"/>
      <c r="Y32" s="427">
        <f>IF(ISERROR(Config!N38*'Customer Purchase Order'!W32),"",Config!N38*'Customer Purchase Order'!W32)</f>
        <v>1774.5</v>
      </c>
    </row>
    <row r="33" spans="2:25" ht="75.75" customHeight="1">
      <c r="C33" s="618"/>
      <c r="D33" s="619"/>
      <c r="E33" s="619"/>
      <c r="F33" s="620"/>
      <c r="G33" s="398"/>
      <c r="H33" s="398"/>
      <c r="I33" s="405" t="str">
        <f>IF(Config!F39&lt;&gt;"",Config!F39,"")</f>
        <v>D-4R</v>
      </c>
      <c r="J33" s="405"/>
      <c r="K33" s="405"/>
      <c r="L33" s="405"/>
      <c r="M33" s="405">
        <f>IF(Config!N39&lt;&gt;"",Config!N39,"")</f>
        <v>1</v>
      </c>
      <c r="N33" s="405"/>
      <c r="O33" s="405"/>
      <c r="P33" s="624" t="str">
        <f>IF(Config!S39&lt;&gt;"",UPPER(Config!S39),"")</f>
        <v>CABINET, SPLIT ENTRY CONSOLE 72" TALL</v>
      </c>
      <c r="Q33" s="624"/>
      <c r="R33" s="624"/>
      <c r="S33" s="624"/>
      <c r="T33" s="624"/>
      <c r="U33" s="624"/>
      <c r="V33" s="624"/>
      <c r="W33" s="426">
        <f>IF(Config!W39&lt;&gt;0,Config!W39,"")</f>
        <v>5943.5</v>
      </c>
      <c r="X33" s="426"/>
      <c r="Y33" s="427">
        <f>IF(ISERROR(Config!N39*'Customer Purchase Order'!W33),"",Config!N39*'Customer Purchase Order'!W33)</f>
        <v>5943.5</v>
      </c>
    </row>
    <row r="34" spans="2:25" ht="75.75" customHeight="1">
      <c r="B34" s="596" t="str">
        <f>"From:" &amp;Inputs!E55</f>
        <v>From:Customer Service</v>
      </c>
      <c r="C34" s="618"/>
      <c r="D34" s="619"/>
      <c r="E34" s="619"/>
      <c r="F34" s="620"/>
      <c r="G34" s="398"/>
      <c r="H34" s="398"/>
      <c r="I34" s="405" t="str">
        <f>IF(Config!F40&lt;&gt;"",Config!F40,"")</f>
        <v>B-20N</v>
      </c>
      <c r="J34" s="405"/>
      <c r="K34" s="405"/>
      <c r="L34" s="405"/>
      <c r="M34" s="405">
        <f>IF(Config!N40&lt;&gt;"",Config!N40,"")</f>
        <v>1</v>
      </c>
      <c r="N34" s="405"/>
      <c r="O34" s="405"/>
      <c r="P34" s="603" t="str">
        <f>IF(Config!S40&lt;&gt;"",UPPER(Config!S40),"")</f>
        <v>CHAIR, X-CALIBUR, (W/ DURATION UPHOLSTERY, STD. COLORS)</v>
      </c>
      <c r="Q34" s="603"/>
      <c r="R34" s="603"/>
      <c r="S34" s="603"/>
      <c r="T34" s="603"/>
      <c r="U34" s="603"/>
      <c r="V34" s="603"/>
      <c r="W34" s="426">
        <f>IF(Config!W40&lt;&gt;0,Config!W40,"")</f>
        <v>3615.5</v>
      </c>
      <c r="X34" s="426"/>
      <c r="Y34" s="427">
        <f>IF(ISERROR(Config!N40*'Customer Purchase Order'!W34),"",Config!N40*'Customer Purchase Order'!W34)</f>
        <v>3615.5</v>
      </c>
    </row>
    <row r="35" spans="2:25" ht="75.75" customHeight="1">
      <c r="B35" s="596"/>
      <c r="C35" s="618"/>
      <c r="D35" s="619"/>
      <c r="E35" s="619"/>
      <c r="F35" s="620"/>
      <c r="G35" s="398"/>
      <c r="H35" s="398"/>
      <c r="I35" s="398" t="str">
        <f>IF(Config!F41&lt;&gt;"",Config!F41,"")</f>
        <v>AL-901R</v>
      </c>
      <c r="J35" s="398"/>
      <c r="K35" s="398"/>
      <c r="L35" s="398"/>
      <c r="M35" s="398">
        <f>IF(Config!N41&lt;&gt;"",Config!N41,"")</f>
        <v>1</v>
      </c>
      <c r="N35" s="398"/>
      <c r="O35" s="398"/>
      <c r="P35" s="604" t="str">
        <f>IF(Config!S41&lt;&gt;"",UPPER(Config!S41),"")</f>
        <v>LIGHT, BEL-HALO LED, POST MOUNT, WHITE                                                        (REQUIRES BDS0012, BDS0013 POST                                     OR 8482B POST+ CHAIR ADAPTER)</v>
      </c>
      <c r="Q35" s="604"/>
      <c r="R35" s="604"/>
      <c r="S35" s="604"/>
      <c r="T35" s="604"/>
      <c r="U35" s="604"/>
      <c r="V35" s="604"/>
      <c r="W35" s="426">
        <f>IF(Config!W41&lt;&gt;0,Config!W41,"")</f>
        <v>2068</v>
      </c>
      <c r="X35" s="426"/>
      <c r="Y35" s="427">
        <f>IF(ISERROR(Config!N41*'Customer Purchase Order'!W35),"",Config!N41*'Customer Purchase Order'!W35)</f>
        <v>2068</v>
      </c>
    </row>
    <row r="36" spans="2:25" ht="75.75" customHeight="1">
      <c r="B36" s="596"/>
      <c r="C36" s="618"/>
      <c r="D36" s="619"/>
      <c r="E36" s="619"/>
      <c r="F36" s="620"/>
      <c r="G36" s="398"/>
      <c r="H36" s="398"/>
      <c r="I36" s="398"/>
      <c r="J36" s="398"/>
      <c r="K36" s="398"/>
      <c r="L36" s="398"/>
      <c r="M36" s="398"/>
      <c r="N36" s="398"/>
      <c r="O36" s="398"/>
      <c r="P36" s="399"/>
      <c r="Q36" s="399"/>
      <c r="R36" s="399"/>
      <c r="S36" s="399"/>
      <c r="T36" s="399"/>
      <c r="U36" s="399"/>
      <c r="V36" s="399"/>
      <c r="W36" s="428"/>
      <c r="X36" s="426"/>
      <c r="Y36" s="427"/>
    </row>
    <row r="37" spans="2:25" ht="75.75" customHeight="1">
      <c r="B37" s="596"/>
      <c r="C37" s="618"/>
      <c r="D37" s="619"/>
      <c r="E37" s="619"/>
      <c r="F37" s="620"/>
      <c r="G37" s="398"/>
      <c r="H37" s="398"/>
      <c r="I37" s="398"/>
      <c r="J37" s="398"/>
      <c r="K37" s="398"/>
      <c r="L37" s="398"/>
      <c r="M37" s="398"/>
      <c r="N37" s="398"/>
      <c r="O37" s="398"/>
      <c r="P37" s="399"/>
      <c r="Q37" s="399"/>
      <c r="R37" s="399"/>
      <c r="S37" s="399"/>
      <c r="T37" s="399"/>
      <c r="U37" s="399"/>
      <c r="V37" s="399"/>
      <c r="W37" s="428"/>
      <c r="X37" s="426"/>
      <c r="Y37" s="427"/>
    </row>
    <row r="38" spans="2:25" ht="75.75" customHeight="1">
      <c r="B38" s="596"/>
      <c r="C38" s="618"/>
      <c r="D38" s="619"/>
      <c r="E38" s="619"/>
      <c r="F38" s="620"/>
      <c r="G38" s="398"/>
      <c r="H38" s="398"/>
      <c r="I38" s="398"/>
      <c r="J38" s="398"/>
      <c r="K38" s="398"/>
      <c r="L38" s="398"/>
      <c r="M38" s="398"/>
      <c r="N38" s="398"/>
      <c r="O38" s="398"/>
      <c r="P38" s="399"/>
      <c r="Q38" s="399"/>
      <c r="R38" s="399"/>
      <c r="S38" s="399"/>
      <c r="T38" s="399"/>
      <c r="U38" s="399"/>
      <c r="V38" s="399"/>
      <c r="W38" s="428"/>
      <c r="X38" s="426"/>
      <c r="Y38" s="427"/>
    </row>
    <row r="39" spans="2:25" ht="75.75" customHeight="1">
      <c r="B39" s="596"/>
      <c r="C39" s="618"/>
      <c r="D39" s="619"/>
      <c r="E39" s="619"/>
      <c r="F39" s="620"/>
      <c r="G39" s="398"/>
      <c r="H39" s="398"/>
      <c r="I39" s="398"/>
      <c r="J39" s="398"/>
      <c r="K39" s="398"/>
      <c r="L39" s="398"/>
      <c r="M39" s="398"/>
      <c r="N39" s="398"/>
      <c r="O39" s="398"/>
      <c r="P39" s="399"/>
      <c r="Q39" s="399"/>
      <c r="R39" s="399"/>
      <c r="S39" s="399"/>
      <c r="T39" s="399"/>
      <c r="U39" s="399"/>
      <c r="V39" s="399"/>
      <c r="W39" s="428"/>
      <c r="X39" s="426"/>
      <c r="Y39" s="427"/>
    </row>
    <row r="40" spans="2:25" ht="75.75" customHeight="1">
      <c r="B40" s="596"/>
      <c r="C40" s="618"/>
      <c r="D40" s="619"/>
      <c r="E40" s="619"/>
      <c r="F40" s="620"/>
      <c r="G40" s="398"/>
      <c r="H40" s="398" t="s">
        <v>2071</v>
      </c>
      <c r="I40" s="398" t="str">
        <f>IF(Config!F42&lt;&gt;"",Config!F42,"")</f>
        <v/>
      </c>
      <c r="J40" s="398"/>
      <c r="K40" s="398"/>
      <c r="L40" s="398"/>
      <c r="M40" s="398" t="str">
        <f>IF(Config!N42&lt;&gt;"",Config!N42,"")</f>
        <v/>
      </c>
      <c r="N40" s="398"/>
      <c r="O40" s="398"/>
      <c r="P40" s="604" t="str">
        <f>IF(Config!S42&lt;&gt;"",UPPER(Config!S42),"")</f>
        <v/>
      </c>
      <c r="Q40" s="604"/>
      <c r="R40" s="604"/>
      <c r="S40" s="604"/>
      <c r="T40" s="604"/>
      <c r="U40" s="604"/>
      <c r="V40" s="604"/>
      <c r="W40" s="428" t="str">
        <f>IF(Config!W42&lt;&gt;0,Config!W42,"")</f>
        <v/>
      </c>
      <c r="X40" s="426"/>
      <c r="Y40" s="427" t="str">
        <f>IF(ISERROR(Config!N42*'Customer Purchase Order'!W40),"",Config!N42*'Customer Purchase Order'!W40)</f>
        <v/>
      </c>
    </row>
    <row r="41" spans="2:25" ht="75.75" customHeight="1">
      <c r="C41" s="621"/>
      <c r="D41" s="622"/>
      <c r="E41" s="622"/>
      <c r="F41" s="623"/>
      <c r="G41" s="395"/>
      <c r="H41" s="395"/>
      <c r="I41" s="395"/>
      <c r="J41" s="395"/>
      <c r="K41" s="395"/>
      <c r="L41" s="395"/>
      <c r="M41" s="395"/>
      <c r="N41" s="395"/>
      <c r="O41" s="395"/>
      <c r="P41" s="614" t="s">
        <v>2129</v>
      </c>
      <c r="Q41" s="614"/>
      <c r="R41" s="614"/>
      <c r="S41" s="614"/>
      <c r="T41" s="614"/>
      <c r="U41" s="614"/>
      <c r="V41" s="614"/>
      <c r="W41" s="429"/>
      <c r="X41" s="429"/>
      <c r="Y41" s="430">
        <f>SUM(Y27:Y40)</f>
        <v>31600</v>
      </c>
    </row>
    <row r="42" spans="2:25" ht="8.25" customHeight="1">
      <c r="W42" s="423"/>
      <c r="X42" s="423"/>
      <c r="Y42" s="423"/>
    </row>
    <row r="43" spans="2:25" ht="12" customHeight="1"/>
  </sheetData>
  <mergeCells count="21">
    <mergeCell ref="C3:I6"/>
    <mergeCell ref="P41:V41"/>
    <mergeCell ref="C26:F41"/>
    <mergeCell ref="P28:V28"/>
    <mergeCell ref="P29:V29"/>
    <mergeCell ref="P30:V30"/>
    <mergeCell ref="P31:V31"/>
    <mergeCell ref="P32:V32"/>
    <mergeCell ref="P33:V33"/>
    <mergeCell ref="I26:Q26"/>
    <mergeCell ref="S3:Y3"/>
    <mergeCell ref="P27:V27"/>
    <mergeCell ref="C22:F24"/>
    <mergeCell ref="C21:F21"/>
    <mergeCell ref="W4:Y4"/>
    <mergeCell ref="B34:B40"/>
    <mergeCell ref="B27:B32"/>
    <mergeCell ref="H20:X21"/>
    <mergeCell ref="P34:V34"/>
    <mergeCell ref="P35:V35"/>
    <mergeCell ref="P40:V40"/>
  </mergeCells>
  <pageMargins left="0.7" right="0.7" top="0.75" bottom="0.75" header="0.3" footer="0.3"/>
  <pageSetup scale="23"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0"/>
  <sheetViews>
    <sheetView workbookViewId="0">
      <selection activeCell="P6" sqref="P6"/>
    </sheetView>
  </sheetViews>
  <sheetFormatPr defaultRowHeight="15"/>
  <cols>
    <col min="2" max="2" width="12.7109375" bestFit="1" customWidth="1"/>
    <col min="6" max="6" width="13.7109375" bestFit="1" customWidth="1"/>
    <col min="8" max="8" width="11.7109375" bestFit="1" customWidth="1"/>
    <col min="12" max="12" width="11.7109375" bestFit="1" customWidth="1"/>
    <col min="22" max="22" width="15.85546875" bestFit="1" customWidth="1"/>
    <col min="24" max="24" width="29" bestFit="1" customWidth="1"/>
    <col min="32" max="32" width="22.42578125" bestFit="1" customWidth="1"/>
    <col min="34" max="34" width="11.140625" bestFit="1" customWidth="1"/>
  </cols>
  <sheetData>
    <row r="1" spans="1:34">
      <c r="A1" t="s">
        <v>1565</v>
      </c>
      <c r="B1" t="s">
        <v>1515</v>
      </c>
      <c r="C1" t="s">
        <v>1512</v>
      </c>
      <c r="F1" t="s">
        <v>1566</v>
      </c>
      <c r="G1" t="s">
        <v>1565</v>
      </c>
      <c r="H1" t="s">
        <v>1565</v>
      </c>
      <c r="J1" t="s">
        <v>1503</v>
      </c>
      <c r="L1" t="s">
        <v>1565</v>
      </c>
      <c r="M1" t="s">
        <v>2053</v>
      </c>
      <c r="P1" t="s">
        <v>2074</v>
      </c>
      <c r="Q1">
        <v>8</v>
      </c>
      <c r="S1" t="s">
        <v>2108</v>
      </c>
      <c r="V1" t="s">
        <v>2131</v>
      </c>
      <c r="W1">
        <v>51</v>
      </c>
      <c r="X1" s="496" t="s">
        <v>2312</v>
      </c>
      <c r="AA1" t="s">
        <v>1498</v>
      </c>
      <c r="AD1" t="s">
        <v>2187</v>
      </c>
      <c r="AF1" t="s">
        <v>2189</v>
      </c>
      <c r="AH1" t="s">
        <v>2204</v>
      </c>
    </row>
    <row r="2" spans="1:34">
      <c r="A2" t="s">
        <v>1565</v>
      </c>
      <c r="B2" t="s">
        <v>1516</v>
      </c>
      <c r="C2" t="s">
        <v>1513</v>
      </c>
      <c r="F2" t="s">
        <v>1566</v>
      </c>
      <c r="G2" t="s">
        <v>1565</v>
      </c>
      <c r="H2" t="s">
        <v>1566</v>
      </c>
      <c r="J2" t="s">
        <v>1505</v>
      </c>
      <c r="L2" t="s">
        <v>1566</v>
      </c>
      <c r="M2" t="s">
        <v>2052</v>
      </c>
      <c r="P2" t="s">
        <v>2075</v>
      </c>
      <c r="Q2">
        <v>8.5</v>
      </c>
      <c r="S2" t="s">
        <v>2109</v>
      </c>
      <c r="V2" t="s">
        <v>2132</v>
      </c>
      <c r="W2">
        <v>52</v>
      </c>
      <c r="X2" s="496" t="s">
        <v>2313</v>
      </c>
      <c r="AA2" t="s">
        <v>1503</v>
      </c>
      <c r="AB2">
        <v>1</v>
      </c>
      <c r="AD2" t="s">
        <v>2188</v>
      </c>
      <c r="AF2" t="s">
        <v>200</v>
      </c>
      <c r="AH2" t="s">
        <v>2205</v>
      </c>
    </row>
    <row r="3" spans="1:34">
      <c r="A3" t="s">
        <v>1565</v>
      </c>
      <c r="B3" t="s">
        <v>1517</v>
      </c>
      <c r="C3" t="s">
        <v>1514</v>
      </c>
      <c r="P3" t="s">
        <v>2076</v>
      </c>
      <c r="Q3">
        <v>9</v>
      </c>
      <c r="V3" t="s">
        <v>2133</v>
      </c>
      <c r="W3">
        <v>54</v>
      </c>
      <c r="X3" s="496" t="s">
        <v>2314</v>
      </c>
      <c r="AA3" t="s">
        <v>1505</v>
      </c>
      <c r="AB3">
        <v>1</v>
      </c>
      <c r="AF3" t="s">
        <v>202</v>
      </c>
      <c r="AH3" t="s">
        <v>2206</v>
      </c>
    </row>
    <row r="4" spans="1:34">
      <c r="A4" t="s">
        <v>1565</v>
      </c>
      <c r="B4" t="s">
        <v>1518</v>
      </c>
      <c r="C4" t="s">
        <v>1523</v>
      </c>
      <c r="P4" t="s">
        <v>2077</v>
      </c>
      <c r="Q4">
        <v>9.5</v>
      </c>
      <c r="V4" t="s">
        <v>2134</v>
      </c>
      <c r="W4">
        <v>55</v>
      </c>
      <c r="X4" s="496" t="s">
        <v>2315</v>
      </c>
      <c r="AA4" t="s">
        <v>1501</v>
      </c>
      <c r="AB4">
        <v>1</v>
      </c>
      <c r="AF4" t="s">
        <v>1717</v>
      </c>
      <c r="AH4" t="s">
        <v>2207</v>
      </c>
    </row>
    <row r="5" spans="1:34">
      <c r="A5" t="s">
        <v>1565</v>
      </c>
      <c r="B5" t="s">
        <v>1519</v>
      </c>
      <c r="C5" t="s">
        <v>1524</v>
      </c>
      <c r="P5" t="s">
        <v>2078</v>
      </c>
      <c r="Q5">
        <v>10</v>
      </c>
      <c r="V5" t="s">
        <v>2135</v>
      </c>
      <c r="W5">
        <v>56</v>
      </c>
      <c r="X5" s="496" t="s">
        <v>2316</v>
      </c>
      <c r="AF5" t="s">
        <v>1718</v>
      </c>
      <c r="AH5" t="s">
        <v>2208</v>
      </c>
    </row>
    <row r="6" spans="1:34">
      <c r="A6" t="s">
        <v>1565</v>
      </c>
      <c r="B6" t="s">
        <v>1520</v>
      </c>
      <c r="C6" t="s">
        <v>1525</v>
      </c>
      <c r="V6" t="s">
        <v>2136</v>
      </c>
      <c r="W6">
        <v>57</v>
      </c>
      <c r="X6" s="496" t="s">
        <v>2317</v>
      </c>
      <c r="AF6" t="s">
        <v>1722</v>
      </c>
    </row>
    <row r="7" spans="1:34">
      <c r="A7" t="s">
        <v>1565</v>
      </c>
      <c r="B7" t="s">
        <v>1521</v>
      </c>
      <c r="C7" t="s">
        <v>1526</v>
      </c>
      <c r="V7" t="s">
        <v>2137</v>
      </c>
      <c r="W7">
        <v>58</v>
      </c>
      <c r="X7" s="496" t="s">
        <v>2318</v>
      </c>
      <c r="AF7" t="s">
        <v>1723</v>
      </c>
    </row>
    <row r="8" spans="1:34">
      <c r="A8" t="s">
        <v>1565</v>
      </c>
      <c r="B8" t="s">
        <v>1522</v>
      </c>
      <c r="C8" t="s">
        <v>1527</v>
      </c>
      <c r="V8" t="s">
        <v>2138</v>
      </c>
      <c r="W8">
        <v>61</v>
      </c>
      <c r="X8" s="496" t="s">
        <v>2319</v>
      </c>
    </row>
    <row r="9" spans="1:34">
      <c r="A9" t="s">
        <v>1565</v>
      </c>
      <c r="B9" t="s">
        <v>1529</v>
      </c>
      <c r="C9" t="s">
        <v>1528</v>
      </c>
      <c r="V9" t="s">
        <v>2139</v>
      </c>
      <c r="W9">
        <v>63</v>
      </c>
      <c r="X9" s="496" t="s">
        <v>2320</v>
      </c>
    </row>
    <row r="10" spans="1:34">
      <c r="A10" t="s">
        <v>1565</v>
      </c>
      <c r="B10" t="s">
        <v>1531</v>
      </c>
      <c r="C10" t="s">
        <v>1530</v>
      </c>
      <c r="V10" t="s">
        <v>2140</v>
      </c>
      <c r="W10">
        <v>69</v>
      </c>
      <c r="X10" s="496" t="s">
        <v>2321</v>
      </c>
    </row>
    <row r="11" spans="1:34">
      <c r="A11" t="s">
        <v>1565</v>
      </c>
      <c r="B11" t="s">
        <v>1538</v>
      </c>
      <c r="C11" t="s">
        <v>1532</v>
      </c>
      <c r="V11" t="s">
        <v>2141</v>
      </c>
      <c r="W11">
        <v>65</v>
      </c>
      <c r="X11" s="496" t="s">
        <v>2322</v>
      </c>
    </row>
    <row r="12" spans="1:34">
      <c r="A12" t="s">
        <v>1565</v>
      </c>
      <c r="B12" t="s">
        <v>1539</v>
      </c>
      <c r="C12" t="s">
        <v>1533</v>
      </c>
      <c r="V12" t="s">
        <v>2142</v>
      </c>
      <c r="W12">
        <v>68</v>
      </c>
      <c r="X12" s="496" t="s">
        <v>2323</v>
      </c>
    </row>
    <row r="13" spans="1:34">
      <c r="A13" t="s">
        <v>1565</v>
      </c>
      <c r="B13" t="s">
        <v>1540</v>
      </c>
      <c r="C13" t="s">
        <v>1534</v>
      </c>
      <c r="V13" t="s">
        <v>2143</v>
      </c>
      <c r="W13">
        <v>72</v>
      </c>
      <c r="X13" s="496" t="s">
        <v>2324</v>
      </c>
    </row>
    <row r="14" spans="1:34">
      <c r="A14" t="s">
        <v>1565</v>
      </c>
      <c r="B14" t="s">
        <v>1541</v>
      </c>
      <c r="C14" t="s">
        <v>1535</v>
      </c>
      <c r="V14" t="s">
        <v>2144</v>
      </c>
      <c r="W14">
        <v>74</v>
      </c>
      <c r="X14" s="496" t="s">
        <v>2325</v>
      </c>
    </row>
    <row r="15" spans="1:34">
      <c r="A15" t="s">
        <v>1565</v>
      </c>
      <c r="B15" t="s">
        <v>1542</v>
      </c>
      <c r="C15" t="s">
        <v>1536</v>
      </c>
      <c r="V15" t="s">
        <v>2145</v>
      </c>
      <c r="W15">
        <v>80</v>
      </c>
      <c r="X15" s="496" t="s">
        <v>2326</v>
      </c>
    </row>
    <row r="16" spans="1:34">
      <c r="A16" t="s">
        <v>1565</v>
      </c>
      <c r="B16" t="s">
        <v>1543</v>
      </c>
      <c r="C16" t="s">
        <v>1537</v>
      </c>
      <c r="V16" t="s">
        <v>2146</v>
      </c>
      <c r="W16">
        <v>82</v>
      </c>
      <c r="X16" s="496" t="s">
        <v>2327</v>
      </c>
    </row>
    <row r="17" spans="1:3">
      <c r="A17" t="s">
        <v>1565</v>
      </c>
      <c r="B17" t="s">
        <v>1653</v>
      </c>
      <c r="C17" t="s">
        <v>1652</v>
      </c>
    </row>
    <row r="18" spans="1:3">
      <c r="A18" t="s">
        <v>1566</v>
      </c>
      <c r="B18" t="s">
        <v>1544</v>
      </c>
      <c r="C18">
        <v>2551</v>
      </c>
    </row>
    <row r="19" spans="1:3">
      <c r="A19" t="s">
        <v>1566</v>
      </c>
      <c r="B19" t="s">
        <v>1545</v>
      </c>
      <c r="C19">
        <v>3926</v>
      </c>
    </row>
    <row r="20" spans="1:3">
      <c r="A20" t="s">
        <v>1566</v>
      </c>
      <c r="B20" t="s">
        <v>1546</v>
      </c>
      <c r="C20">
        <v>5763</v>
      </c>
    </row>
    <row r="21" spans="1:3">
      <c r="A21" t="s">
        <v>1566</v>
      </c>
      <c r="B21" t="s">
        <v>1547</v>
      </c>
      <c r="C21">
        <v>1312</v>
      </c>
    </row>
    <row r="22" spans="1:3">
      <c r="A22" t="s">
        <v>1566</v>
      </c>
      <c r="B22" t="s">
        <v>1548</v>
      </c>
      <c r="C22">
        <v>8242</v>
      </c>
    </row>
    <row r="23" spans="1:3">
      <c r="A23" t="s">
        <v>1566</v>
      </c>
      <c r="B23" t="s">
        <v>1549</v>
      </c>
      <c r="C23">
        <v>3612</v>
      </c>
    </row>
    <row r="24" spans="1:3">
      <c r="A24" t="s">
        <v>1566</v>
      </c>
      <c r="B24" t="s">
        <v>1550</v>
      </c>
      <c r="C24">
        <v>2478</v>
      </c>
    </row>
    <row r="25" spans="1:3">
      <c r="A25" t="s">
        <v>1566</v>
      </c>
      <c r="B25" t="s">
        <v>1551</v>
      </c>
      <c r="C25">
        <v>5666</v>
      </c>
    </row>
    <row r="26" spans="1:3">
      <c r="A26" t="s">
        <v>1566</v>
      </c>
      <c r="B26" t="s">
        <v>1552</v>
      </c>
      <c r="C26">
        <v>4430</v>
      </c>
    </row>
    <row r="27" spans="1:3">
      <c r="A27" t="s">
        <v>1566</v>
      </c>
      <c r="B27" t="s">
        <v>1553</v>
      </c>
      <c r="C27">
        <v>4498</v>
      </c>
    </row>
    <row r="28" spans="1:3">
      <c r="A28" t="s">
        <v>1566</v>
      </c>
      <c r="B28" t="s">
        <v>1554</v>
      </c>
      <c r="C28">
        <v>2557</v>
      </c>
    </row>
    <row r="29" spans="1:3">
      <c r="A29" t="s">
        <v>1566</v>
      </c>
      <c r="B29" t="s">
        <v>1555</v>
      </c>
      <c r="C29">
        <v>5814</v>
      </c>
    </row>
    <row r="30" spans="1:3">
      <c r="A30" t="s">
        <v>1566</v>
      </c>
      <c r="B30" t="s">
        <v>1556</v>
      </c>
      <c r="C30">
        <v>3174</v>
      </c>
    </row>
    <row r="31" spans="1:3">
      <c r="A31" t="s">
        <v>1566</v>
      </c>
      <c r="B31" t="s">
        <v>1557</v>
      </c>
      <c r="C31">
        <v>1256</v>
      </c>
    </row>
    <row r="32" spans="1:3">
      <c r="A32" t="s">
        <v>1566</v>
      </c>
      <c r="B32" t="s">
        <v>1558</v>
      </c>
      <c r="C32">
        <v>5768</v>
      </c>
    </row>
    <row r="33" spans="1:3">
      <c r="A33" t="s">
        <v>1566</v>
      </c>
      <c r="B33" t="s">
        <v>1559</v>
      </c>
      <c r="C33">
        <v>5607</v>
      </c>
    </row>
    <row r="34" spans="1:3">
      <c r="A34" t="s">
        <v>1566</v>
      </c>
      <c r="B34" t="s">
        <v>1560</v>
      </c>
      <c r="C34">
        <v>3850</v>
      </c>
    </row>
    <row r="35" spans="1:3">
      <c r="A35" t="s">
        <v>1566</v>
      </c>
      <c r="B35" t="s">
        <v>1561</v>
      </c>
      <c r="C35">
        <v>4351</v>
      </c>
    </row>
    <row r="36" spans="1:3">
      <c r="A36" t="s">
        <v>1566</v>
      </c>
      <c r="B36" t="s">
        <v>1562</v>
      </c>
      <c r="C36">
        <v>3602</v>
      </c>
    </row>
    <row r="37" spans="1:3">
      <c r="A37" t="s">
        <v>1566</v>
      </c>
      <c r="B37" t="s">
        <v>1541</v>
      </c>
      <c r="C37">
        <v>3779</v>
      </c>
    </row>
    <row r="38" spans="1:3">
      <c r="A38" t="s">
        <v>1566</v>
      </c>
      <c r="B38" t="s">
        <v>1563</v>
      </c>
      <c r="C38">
        <v>3777</v>
      </c>
    </row>
    <row r="39" spans="1:3">
      <c r="A39" t="s">
        <v>1566</v>
      </c>
      <c r="B39" t="s">
        <v>1564</v>
      </c>
      <c r="C39">
        <v>3935</v>
      </c>
    </row>
    <row r="40" spans="1:3">
      <c r="A40" t="s">
        <v>1566</v>
      </c>
      <c r="B40" t="s">
        <v>1653</v>
      </c>
      <c r="C40" t="s">
        <v>1651</v>
      </c>
    </row>
  </sheetData>
  <hyperlinks>
    <hyperlink ref="X1" r:id="rId1"/>
    <hyperlink ref="X2" r:id="rId2"/>
    <hyperlink ref="X3" r:id="rId3"/>
    <hyperlink ref="X4" r:id="rId4"/>
    <hyperlink ref="X5" r:id="rId5"/>
    <hyperlink ref="X6" r:id="rId6"/>
    <hyperlink ref="X7" r:id="rId7"/>
    <hyperlink ref="X8" r:id="rId8"/>
    <hyperlink ref="X9" r:id="rId9"/>
    <hyperlink ref="X10" r:id="rId10"/>
    <hyperlink ref="X11" r:id="rId11"/>
    <hyperlink ref="X12" r:id="rId12"/>
    <hyperlink ref="X13" r:id="rId13"/>
    <hyperlink ref="X14" r:id="rId14"/>
    <hyperlink ref="X15" r:id="rId15"/>
    <hyperlink ref="X16" r:id="rId16"/>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B1:V135"/>
  <sheetViews>
    <sheetView view="pageBreakPreview" topLeftCell="C1" zoomScale="60" zoomScaleNormal="85" workbookViewId="0">
      <pane ySplit="5" topLeftCell="A75" activePane="bottomLeft" state="frozen"/>
      <selection pane="bottomLeft" activeCell="E126" activeCellId="2" sqref="E80:E89 E109:E116 E126:E127"/>
    </sheetView>
  </sheetViews>
  <sheetFormatPr defaultRowHeight="15"/>
  <cols>
    <col min="1" max="1" width="0" hidden="1" customWidth="1"/>
    <col min="2" max="2" width="20.42578125" hidden="1" customWidth="1"/>
    <col min="4" max="4" width="11.42578125" customWidth="1"/>
    <col min="5" max="5" width="32.42578125" bestFit="1" customWidth="1"/>
    <col min="6" max="6" width="10" customWidth="1"/>
    <col min="7" max="7" width="26.85546875" customWidth="1"/>
    <col min="8" max="8" width="7.140625" bestFit="1" customWidth="1"/>
    <col min="16" max="16" width="10.85546875" customWidth="1"/>
    <col min="18" max="18" width="9.140625" style="466"/>
    <col min="20" max="20" width="10.42578125" style="466" bestFit="1" customWidth="1"/>
    <col min="21" max="21" width="10.5703125" style="466" bestFit="1" customWidth="1"/>
    <col min="22" max="22" width="9.140625" style="466"/>
  </cols>
  <sheetData>
    <row r="1" spans="3:22">
      <c r="C1" t="s">
        <v>2262</v>
      </c>
      <c r="F1" t="s">
        <v>2263</v>
      </c>
    </row>
    <row r="2" spans="3:22">
      <c r="C2" t="s">
        <v>2264</v>
      </c>
    </row>
    <row r="3" spans="3:22">
      <c r="C3" s="467" t="s">
        <v>2194</v>
      </c>
      <c r="G3" s="467"/>
    </row>
    <row r="4" spans="3:22" ht="15.75">
      <c r="C4" s="372"/>
      <c r="D4" s="186"/>
      <c r="E4" s="186"/>
      <c r="F4" s="593"/>
      <c r="G4" s="594"/>
      <c r="H4" s="594"/>
      <c r="I4" s="595"/>
      <c r="J4" s="641" t="s">
        <v>2265</v>
      </c>
      <c r="K4" s="642"/>
      <c r="L4" s="642"/>
      <c r="M4" s="642"/>
      <c r="N4" s="642"/>
      <c r="O4" s="642"/>
      <c r="P4" s="642"/>
      <c r="Q4" s="642"/>
      <c r="R4" s="642"/>
      <c r="S4" s="642"/>
      <c r="T4" s="642"/>
      <c r="U4" s="642"/>
      <c r="V4" s="643"/>
    </row>
    <row r="5" spans="3:22" ht="15.75" thickBot="1">
      <c r="C5" s="372"/>
      <c r="D5" s="186"/>
      <c r="E5" s="186" t="s">
        <v>1500</v>
      </c>
      <c r="F5" s="468" t="s">
        <v>22</v>
      </c>
      <c r="G5" s="179" t="s">
        <v>20</v>
      </c>
      <c r="H5" s="179" t="s">
        <v>16</v>
      </c>
      <c r="I5" s="179" t="s">
        <v>18</v>
      </c>
      <c r="J5" s="369"/>
      <c r="K5" s="88"/>
      <c r="L5" s="88"/>
      <c r="M5" s="88"/>
      <c r="N5" s="88"/>
      <c r="O5" s="88"/>
      <c r="P5" s="88"/>
      <c r="Q5" s="88"/>
      <c r="R5" s="469"/>
      <c r="S5" s="88"/>
      <c r="T5" s="469"/>
      <c r="U5" s="469"/>
      <c r="V5" s="470"/>
    </row>
    <row r="6" spans="3:22" ht="15" customHeight="1">
      <c r="C6" s="644" t="s">
        <v>1506</v>
      </c>
      <c r="D6" s="559" t="s">
        <v>2195</v>
      </c>
      <c r="E6" s="157" t="s">
        <v>74</v>
      </c>
      <c r="F6" s="372" t="s">
        <v>2191</v>
      </c>
      <c r="G6" s="186" t="s">
        <v>2191</v>
      </c>
      <c r="H6" s="186">
        <v>0</v>
      </c>
      <c r="I6" s="373" t="s">
        <v>2191</v>
      </c>
      <c r="J6" s="646" t="s">
        <v>2266</v>
      </c>
      <c r="K6" s="647"/>
      <c r="L6" s="647"/>
      <c r="M6" s="647"/>
      <c r="N6" s="647"/>
      <c r="O6" s="647"/>
      <c r="P6" s="647"/>
      <c r="Q6" s="443" t="s">
        <v>2267</v>
      </c>
      <c r="R6" s="471" t="s">
        <v>1510</v>
      </c>
      <c r="S6" s="471"/>
      <c r="T6" s="471" t="s">
        <v>2267</v>
      </c>
      <c r="U6" s="471" t="s">
        <v>2268</v>
      </c>
      <c r="V6" s="471" t="s">
        <v>2269</v>
      </c>
    </row>
    <row r="7" spans="3:22">
      <c r="C7" s="645"/>
      <c r="D7" s="560"/>
      <c r="E7" s="157" t="s">
        <v>58</v>
      </c>
      <c r="F7" s="366" t="s">
        <v>2191</v>
      </c>
      <c r="G7" s="367" t="s">
        <v>2191</v>
      </c>
      <c r="H7" s="367">
        <v>0</v>
      </c>
      <c r="I7" s="368" t="s">
        <v>2191</v>
      </c>
    </row>
    <row r="8" spans="3:22">
      <c r="C8" s="645"/>
      <c r="D8" s="560"/>
      <c r="E8" s="157" t="s">
        <v>60</v>
      </c>
      <c r="F8" s="366" t="s">
        <v>2191</v>
      </c>
      <c r="G8" s="367" t="s">
        <v>2191</v>
      </c>
      <c r="H8" s="367">
        <v>0</v>
      </c>
      <c r="I8" s="368" t="s">
        <v>2191</v>
      </c>
    </row>
    <row r="9" spans="3:22">
      <c r="C9" s="645"/>
      <c r="D9" s="560"/>
      <c r="E9" s="157" t="s">
        <v>62</v>
      </c>
      <c r="F9" s="366" t="s">
        <v>2191</v>
      </c>
      <c r="G9" s="367" t="s">
        <v>2191</v>
      </c>
      <c r="H9" s="367">
        <v>0</v>
      </c>
      <c r="I9" s="368" t="s">
        <v>2191</v>
      </c>
    </row>
    <row r="10" spans="3:22">
      <c r="C10" s="645"/>
      <c r="D10" s="560"/>
      <c r="E10" s="157" t="s">
        <v>64</v>
      </c>
      <c r="F10" s="366" t="s">
        <v>2191</v>
      </c>
      <c r="G10" s="367" t="s">
        <v>2191</v>
      </c>
      <c r="H10" s="367">
        <v>0</v>
      </c>
      <c r="I10" s="368" t="s">
        <v>2191</v>
      </c>
    </row>
    <row r="11" spans="3:22">
      <c r="C11" s="645"/>
      <c r="D11" s="560"/>
      <c r="E11" s="157" t="s">
        <v>76</v>
      </c>
      <c r="F11" s="366" t="s">
        <v>2191</v>
      </c>
      <c r="G11" s="367" t="s">
        <v>2191</v>
      </c>
      <c r="H11" s="367">
        <v>0</v>
      </c>
      <c r="I11" s="368" t="s">
        <v>2191</v>
      </c>
    </row>
    <row r="12" spans="3:22">
      <c r="C12" s="645"/>
      <c r="D12" s="560"/>
      <c r="E12" s="157" t="s">
        <v>66</v>
      </c>
      <c r="F12" s="366" t="s">
        <v>2191</v>
      </c>
      <c r="G12" s="367" t="s">
        <v>2191</v>
      </c>
      <c r="H12" s="367">
        <v>0</v>
      </c>
      <c r="I12" s="368" t="s">
        <v>2191</v>
      </c>
    </row>
    <row r="13" spans="3:22">
      <c r="C13" s="645"/>
      <c r="D13" s="560"/>
      <c r="E13" s="157" t="s">
        <v>68</v>
      </c>
      <c r="F13" s="366" t="s">
        <v>2191</v>
      </c>
      <c r="G13" s="367" t="s">
        <v>2191</v>
      </c>
      <c r="H13" s="367">
        <v>0</v>
      </c>
      <c r="I13" s="368" t="s">
        <v>2191</v>
      </c>
    </row>
    <row r="14" spans="3:22">
      <c r="C14" s="645"/>
      <c r="D14" s="560"/>
      <c r="E14" s="157" t="s">
        <v>70</v>
      </c>
      <c r="F14" s="366" t="s">
        <v>2191</v>
      </c>
      <c r="G14" s="367" t="s">
        <v>2191</v>
      </c>
      <c r="H14" s="367">
        <v>0</v>
      </c>
      <c r="I14" s="368" t="s">
        <v>2191</v>
      </c>
    </row>
    <row r="15" spans="3:22">
      <c r="C15" s="645"/>
      <c r="D15" s="560"/>
      <c r="E15" s="157" t="s">
        <v>72</v>
      </c>
      <c r="F15" s="366" t="s">
        <v>2191</v>
      </c>
      <c r="G15" s="367" t="s">
        <v>2191</v>
      </c>
      <c r="H15" s="367">
        <v>0</v>
      </c>
      <c r="I15" s="368" t="s">
        <v>2191</v>
      </c>
    </row>
    <row r="16" spans="3:22">
      <c r="C16" s="645"/>
      <c r="D16" s="560"/>
      <c r="E16" s="158" t="s">
        <v>50</v>
      </c>
      <c r="F16" s="366" t="s">
        <v>2191</v>
      </c>
      <c r="G16" s="367" t="s">
        <v>2191</v>
      </c>
      <c r="H16" s="367">
        <v>0</v>
      </c>
      <c r="I16" s="368" t="s">
        <v>2191</v>
      </c>
    </row>
    <row r="17" spans="3:22">
      <c r="C17" s="645"/>
      <c r="D17" s="560"/>
      <c r="E17" s="158" t="s">
        <v>52</v>
      </c>
      <c r="F17" s="366" t="s">
        <v>2191</v>
      </c>
      <c r="G17" s="367" t="s">
        <v>2191</v>
      </c>
      <c r="H17" s="367">
        <v>0</v>
      </c>
      <c r="I17" s="368" t="s">
        <v>2191</v>
      </c>
    </row>
    <row r="18" spans="3:22">
      <c r="C18" s="645"/>
      <c r="D18" s="560"/>
      <c r="E18" s="158" t="s">
        <v>54</v>
      </c>
      <c r="F18" s="366" t="s">
        <v>2191</v>
      </c>
      <c r="G18" s="367" t="s">
        <v>2191</v>
      </c>
      <c r="H18" s="367">
        <v>0</v>
      </c>
      <c r="I18" s="368" t="s">
        <v>2191</v>
      </c>
    </row>
    <row r="19" spans="3:22">
      <c r="C19" s="645"/>
      <c r="D19" s="560"/>
      <c r="E19" s="158" t="s">
        <v>56</v>
      </c>
      <c r="F19" s="366" t="s">
        <v>2191</v>
      </c>
      <c r="G19" s="367" t="s">
        <v>2191</v>
      </c>
      <c r="H19" s="367">
        <v>0</v>
      </c>
      <c r="I19" s="368" t="s">
        <v>2191</v>
      </c>
    </row>
    <row r="20" spans="3:22">
      <c r="C20" s="645"/>
      <c r="D20" s="560"/>
      <c r="E20" s="158" t="s">
        <v>42</v>
      </c>
      <c r="F20" s="366" t="s">
        <v>2191</v>
      </c>
      <c r="G20" s="367" t="s">
        <v>2191</v>
      </c>
      <c r="H20" s="367">
        <v>0</v>
      </c>
      <c r="I20" s="368" t="s">
        <v>2191</v>
      </c>
    </row>
    <row r="21" spans="3:22">
      <c r="C21" s="645"/>
      <c r="D21" s="560"/>
      <c r="E21" s="158" t="s">
        <v>44</v>
      </c>
      <c r="F21" s="366" t="s">
        <v>2191</v>
      </c>
      <c r="G21" s="367" t="s">
        <v>2191</v>
      </c>
      <c r="H21" s="367">
        <v>0</v>
      </c>
      <c r="I21" s="368" t="s">
        <v>2191</v>
      </c>
    </row>
    <row r="22" spans="3:22">
      <c r="C22" s="645"/>
      <c r="D22" s="560"/>
      <c r="E22" s="158" t="s">
        <v>46</v>
      </c>
      <c r="F22" s="366" t="s">
        <v>2191</v>
      </c>
      <c r="G22" s="367" t="s">
        <v>2191</v>
      </c>
      <c r="H22" s="367">
        <v>0</v>
      </c>
      <c r="I22" s="368" t="s">
        <v>2191</v>
      </c>
    </row>
    <row r="23" spans="3:22">
      <c r="C23" s="645"/>
      <c r="D23" s="560"/>
      <c r="E23" s="158" t="s">
        <v>48</v>
      </c>
      <c r="F23" s="369" t="s">
        <v>2191</v>
      </c>
      <c r="G23" s="88" t="s">
        <v>2191</v>
      </c>
      <c r="H23" s="88">
        <v>0</v>
      </c>
      <c r="I23" s="370" t="s">
        <v>2191</v>
      </c>
    </row>
    <row r="24" spans="3:22" ht="25.5">
      <c r="C24" s="543"/>
      <c r="D24" s="561" t="s">
        <v>2196</v>
      </c>
      <c r="E24" s="154" t="s">
        <v>82</v>
      </c>
      <c r="F24" s="377">
        <v>0</v>
      </c>
      <c r="G24" s="163">
        <v>0</v>
      </c>
      <c r="H24" s="163" t="s">
        <v>2270</v>
      </c>
      <c r="I24" s="163">
        <v>0</v>
      </c>
      <c r="J24" s="472" t="s">
        <v>2271</v>
      </c>
      <c r="K24" s="367"/>
      <c r="L24" s="367"/>
      <c r="M24" s="367"/>
      <c r="N24" s="367"/>
      <c r="O24" s="367"/>
      <c r="P24" s="367"/>
      <c r="Q24" s="473" t="s">
        <v>455</v>
      </c>
      <c r="R24" s="473">
        <v>-124</v>
      </c>
      <c r="S24" s="367"/>
      <c r="T24" s="474" t="s">
        <v>2272</v>
      </c>
      <c r="U24" s="475" t="s">
        <v>2273</v>
      </c>
      <c r="V24" s="476">
        <v>24.62</v>
      </c>
    </row>
    <row r="25" spans="3:22" ht="25.5">
      <c r="C25" s="543"/>
      <c r="D25" s="551"/>
      <c r="E25" s="154" t="s">
        <v>84</v>
      </c>
      <c r="F25" s="377">
        <v>0</v>
      </c>
      <c r="G25" s="163">
        <v>0</v>
      </c>
      <c r="H25" s="163" t="s">
        <v>2270</v>
      </c>
      <c r="I25" s="163">
        <v>0</v>
      </c>
      <c r="J25" s="472" t="s">
        <v>2271</v>
      </c>
      <c r="K25" s="367"/>
      <c r="L25" s="367"/>
      <c r="M25" s="367"/>
      <c r="N25" s="367"/>
      <c r="O25" s="367"/>
      <c r="P25" s="367"/>
      <c r="Q25" s="473" t="s">
        <v>455</v>
      </c>
      <c r="R25" s="473">
        <v>-124</v>
      </c>
      <c r="S25" s="367"/>
      <c r="T25" s="474" t="s">
        <v>2272</v>
      </c>
      <c r="U25" s="475" t="s">
        <v>2273</v>
      </c>
      <c r="V25" s="476">
        <v>24.62</v>
      </c>
    </row>
    <row r="26" spans="3:22" ht="25.5">
      <c r="C26" s="543"/>
      <c r="D26" s="551"/>
      <c r="E26" s="154" t="s">
        <v>86</v>
      </c>
      <c r="F26" s="377">
        <v>0</v>
      </c>
      <c r="G26" s="163">
        <v>0</v>
      </c>
      <c r="H26" s="163" t="s">
        <v>2270</v>
      </c>
      <c r="I26" s="163">
        <v>0</v>
      </c>
      <c r="J26" s="472" t="s">
        <v>2271</v>
      </c>
      <c r="K26" s="367"/>
      <c r="L26" s="367"/>
      <c r="M26" s="367"/>
      <c r="N26" s="367"/>
      <c r="O26" s="367"/>
      <c r="P26" s="367"/>
      <c r="Q26" s="473" t="s">
        <v>455</v>
      </c>
      <c r="R26" s="473">
        <v>-124</v>
      </c>
      <c r="S26" s="367"/>
      <c r="T26" s="474" t="s">
        <v>2272</v>
      </c>
      <c r="U26" s="475" t="s">
        <v>2273</v>
      </c>
      <c r="V26" s="476">
        <v>24.62</v>
      </c>
    </row>
    <row r="27" spans="3:22" ht="25.5">
      <c r="C27" s="543"/>
      <c r="D27" s="551"/>
      <c r="E27" s="154" t="s">
        <v>88</v>
      </c>
      <c r="F27" s="377">
        <v>0</v>
      </c>
      <c r="G27" s="163">
        <v>0</v>
      </c>
      <c r="H27" s="163" t="s">
        <v>2270</v>
      </c>
      <c r="I27" s="163">
        <v>0</v>
      </c>
      <c r="J27" s="472" t="s">
        <v>2271</v>
      </c>
      <c r="K27" s="367"/>
      <c r="L27" s="367"/>
      <c r="M27" s="367"/>
      <c r="N27" s="367"/>
      <c r="O27" s="367"/>
      <c r="P27" s="367"/>
      <c r="Q27" s="473" t="s">
        <v>455</v>
      </c>
      <c r="R27" s="473">
        <v>-124</v>
      </c>
      <c r="S27" s="367"/>
      <c r="T27" s="474" t="s">
        <v>2272</v>
      </c>
      <c r="U27" s="475" t="s">
        <v>2273</v>
      </c>
      <c r="V27" s="476">
        <v>24.62</v>
      </c>
    </row>
    <row r="28" spans="3:22">
      <c r="C28" s="543"/>
      <c r="D28" s="551"/>
      <c r="E28" s="154" t="s">
        <v>106</v>
      </c>
      <c r="F28" s="648" t="s">
        <v>2274</v>
      </c>
      <c r="G28" s="649"/>
      <c r="H28" s="649"/>
      <c r="I28" s="650"/>
      <c r="J28" s="366"/>
    </row>
    <row r="29" spans="3:22">
      <c r="C29" s="543"/>
      <c r="D29" s="551"/>
      <c r="E29" s="154" t="s">
        <v>108</v>
      </c>
      <c r="F29" s="651"/>
      <c r="G29" s="652"/>
      <c r="H29" s="652"/>
      <c r="I29" s="653"/>
      <c r="J29" s="366"/>
    </row>
    <row r="30" spans="3:22">
      <c r="C30" s="543"/>
      <c r="D30" s="551"/>
      <c r="E30" s="154" t="s">
        <v>110</v>
      </c>
      <c r="F30" s="651"/>
      <c r="G30" s="652"/>
      <c r="H30" s="652"/>
      <c r="I30" s="653"/>
      <c r="J30" s="366"/>
    </row>
    <row r="31" spans="3:22">
      <c r="C31" s="543"/>
      <c r="D31" s="551"/>
      <c r="E31" s="154" t="s">
        <v>112</v>
      </c>
      <c r="F31" s="651"/>
      <c r="G31" s="652"/>
      <c r="H31" s="652"/>
      <c r="I31" s="653"/>
      <c r="J31" s="366"/>
    </row>
    <row r="32" spans="3:22">
      <c r="C32" s="543"/>
      <c r="D32" s="551"/>
      <c r="E32" s="154" t="s">
        <v>114</v>
      </c>
      <c r="F32" s="651"/>
      <c r="G32" s="652"/>
      <c r="H32" s="652"/>
      <c r="I32" s="653"/>
      <c r="J32" s="366"/>
    </row>
    <row r="33" spans="3:22">
      <c r="C33" s="543"/>
      <c r="D33" s="551"/>
      <c r="E33" s="154" t="s">
        <v>116</v>
      </c>
      <c r="F33" s="654"/>
      <c r="G33" s="655"/>
      <c r="H33" s="655"/>
      <c r="I33" s="656"/>
      <c r="J33" s="366"/>
    </row>
    <row r="34" spans="3:22" ht="25.5">
      <c r="C34" s="543"/>
      <c r="D34" s="551"/>
      <c r="E34" s="154" t="s">
        <v>94</v>
      </c>
      <c r="F34" s="377">
        <v>0</v>
      </c>
      <c r="G34" s="163">
        <v>0</v>
      </c>
      <c r="H34" s="163" t="s">
        <v>2270</v>
      </c>
      <c r="I34" s="163" t="s">
        <v>2184</v>
      </c>
      <c r="J34" s="472" t="s">
        <v>2275</v>
      </c>
      <c r="K34" s="367"/>
      <c r="L34" s="367"/>
      <c r="M34" s="367"/>
      <c r="N34" s="367"/>
      <c r="O34" s="367"/>
      <c r="P34" s="367"/>
      <c r="Q34" s="473" t="s">
        <v>455</v>
      </c>
      <c r="R34" s="473">
        <v>-124</v>
      </c>
      <c r="S34" s="367"/>
      <c r="T34" s="474" t="s">
        <v>2272</v>
      </c>
      <c r="U34" s="475" t="s">
        <v>2273</v>
      </c>
      <c r="V34" s="476">
        <v>24.62</v>
      </c>
    </row>
    <row r="35" spans="3:22">
      <c r="C35" s="543"/>
      <c r="D35" s="551"/>
      <c r="E35" s="154" t="s">
        <v>118</v>
      </c>
      <c r="F35" s="377" t="s">
        <v>2184</v>
      </c>
      <c r="G35" s="377" t="s">
        <v>2184</v>
      </c>
      <c r="H35" s="377" t="s">
        <v>2184</v>
      </c>
      <c r="I35" s="163" t="s">
        <v>2184</v>
      </c>
      <c r="J35" s="366"/>
      <c r="K35" s="367"/>
      <c r="L35" s="367"/>
      <c r="M35" s="367"/>
      <c r="N35" s="367"/>
      <c r="O35" s="367"/>
      <c r="P35" s="367"/>
      <c r="Q35" s="367"/>
      <c r="R35" s="473"/>
      <c r="S35" s="367"/>
      <c r="T35" s="473"/>
      <c r="U35" s="473"/>
      <c r="V35" s="473"/>
    </row>
    <row r="36" spans="3:22" ht="25.5">
      <c r="C36" s="543"/>
      <c r="D36" s="551"/>
      <c r="E36" s="154" t="s">
        <v>96</v>
      </c>
      <c r="F36" s="377">
        <v>0</v>
      </c>
      <c r="G36" s="163">
        <v>0</v>
      </c>
      <c r="H36" s="163" t="s">
        <v>2270</v>
      </c>
      <c r="I36" s="163" t="s">
        <v>2184</v>
      </c>
      <c r="J36" s="472" t="s">
        <v>2275</v>
      </c>
      <c r="K36" s="367"/>
      <c r="L36" s="367"/>
      <c r="M36" s="367"/>
      <c r="N36" s="367"/>
      <c r="O36" s="367"/>
      <c r="P36" s="367"/>
      <c r="Q36" s="473" t="s">
        <v>455</v>
      </c>
      <c r="R36" s="473">
        <v>-124</v>
      </c>
      <c r="S36" s="367"/>
      <c r="T36" s="474" t="s">
        <v>2272</v>
      </c>
      <c r="U36" s="475" t="s">
        <v>2273</v>
      </c>
      <c r="V36" s="476">
        <v>24.62</v>
      </c>
    </row>
    <row r="37" spans="3:22" ht="25.5">
      <c r="C37" s="543"/>
      <c r="D37" s="562"/>
      <c r="E37" s="154" t="s">
        <v>92</v>
      </c>
      <c r="F37" s="377">
        <v>0</v>
      </c>
      <c r="G37" s="378">
        <v>0</v>
      </c>
      <c r="H37" s="378" t="s">
        <v>2270</v>
      </c>
      <c r="I37" s="163" t="s">
        <v>2184</v>
      </c>
      <c r="J37" s="472" t="s">
        <v>2275</v>
      </c>
      <c r="K37" s="367"/>
      <c r="L37" s="367"/>
      <c r="M37" s="367"/>
      <c r="N37" s="367"/>
      <c r="O37" s="367"/>
      <c r="P37" s="367"/>
      <c r="Q37" s="473" t="s">
        <v>455</v>
      </c>
      <c r="R37" s="473">
        <v>-124</v>
      </c>
      <c r="S37" s="367"/>
      <c r="T37" s="474" t="s">
        <v>2272</v>
      </c>
      <c r="U37" s="475" t="s">
        <v>2273</v>
      </c>
      <c r="V37" s="476">
        <v>24.62</v>
      </c>
    </row>
    <row r="38" spans="3:22" ht="25.5">
      <c r="C38" s="543"/>
      <c r="D38" s="561" t="s">
        <v>2197</v>
      </c>
      <c r="E38" s="155" t="s">
        <v>120</v>
      </c>
      <c r="F38" s="377">
        <v>0</v>
      </c>
      <c r="G38" s="163">
        <v>0</v>
      </c>
      <c r="H38" s="163" t="s">
        <v>2270</v>
      </c>
      <c r="I38" s="163">
        <v>0</v>
      </c>
      <c r="J38" s="472" t="s">
        <v>2271</v>
      </c>
      <c r="K38" s="367"/>
      <c r="L38" s="367"/>
      <c r="M38" s="367"/>
      <c r="N38" s="367"/>
      <c r="O38" s="367"/>
      <c r="P38" s="367"/>
      <c r="Q38" s="473" t="s">
        <v>455</v>
      </c>
      <c r="R38" s="473">
        <v>-124</v>
      </c>
      <c r="S38" s="367"/>
      <c r="T38" s="474" t="s">
        <v>2272</v>
      </c>
      <c r="U38" s="475" t="s">
        <v>2273</v>
      </c>
      <c r="V38" s="476">
        <v>24.62</v>
      </c>
    </row>
    <row r="39" spans="3:22" ht="25.5">
      <c r="C39" s="543"/>
      <c r="D39" s="551"/>
      <c r="E39" s="156" t="s">
        <v>122</v>
      </c>
      <c r="F39" s="377">
        <v>0</v>
      </c>
      <c r="G39" s="163">
        <v>0</v>
      </c>
      <c r="H39" s="163" t="s">
        <v>2270</v>
      </c>
      <c r="I39" s="163">
        <v>0</v>
      </c>
      <c r="J39" s="472" t="s">
        <v>2271</v>
      </c>
      <c r="K39" s="367"/>
      <c r="L39" s="367"/>
      <c r="M39" s="367"/>
      <c r="N39" s="367"/>
      <c r="O39" s="367"/>
      <c r="P39" s="367"/>
      <c r="Q39" s="473" t="s">
        <v>455</v>
      </c>
      <c r="R39" s="473">
        <v>-124</v>
      </c>
      <c r="S39" s="367"/>
      <c r="T39" s="474" t="s">
        <v>2272</v>
      </c>
      <c r="U39" s="475" t="s">
        <v>2273</v>
      </c>
      <c r="V39" s="476">
        <v>24.62</v>
      </c>
    </row>
    <row r="40" spans="3:22" ht="25.5">
      <c r="C40" s="543"/>
      <c r="D40" s="551"/>
      <c r="E40" s="156" t="s">
        <v>124</v>
      </c>
      <c r="F40" s="377">
        <v>0</v>
      </c>
      <c r="G40" s="163">
        <v>0</v>
      </c>
      <c r="H40" s="163" t="s">
        <v>2270</v>
      </c>
      <c r="I40" s="163">
        <v>0</v>
      </c>
      <c r="J40" s="472" t="s">
        <v>2271</v>
      </c>
      <c r="K40" s="367"/>
      <c r="L40" s="367"/>
      <c r="M40" s="367"/>
      <c r="N40" s="367"/>
      <c r="O40" s="367"/>
      <c r="P40" s="367"/>
      <c r="Q40" s="473" t="s">
        <v>455</v>
      </c>
      <c r="R40" s="473">
        <v>-124</v>
      </c>
      <c r="S40" s="367"/>
      <c r="T40" s="474" t="s">
        <v>2272</v>
      </c>
      <c r="U40" s="475" t="s">
        <v>2273</v>
      </c>
      <c r="V40" s="476">
        <v>24.62</v>
      </c>
    </row>
    <row r="41" spans="3:22" ht="25.5">
      <c r="C41" s="543"/>
      <c r="D41" s="551"/>
      <c r="E41" s="156" t="s">
        <v>126</v>
      </c>
      <c r="F41" s="377">
        <v>0</v>
      </c>
      <c r="G41" s="163">
        <v>0</v>
      </c>
      <c r="H41" s="163" t="s">
        <v>2270</v>
      </c>
      <c r="I41" s="163">
        <v>0</v>
      </c>
      <c r="J41" s="472" t="s">
        <v>2271</v>
      </c>
      <c r="K41" s="367"/>
      <c r="L41" s="367"/>
      <c r="M41" s="367"/>
      <c r="N41" s="367"/>
      <c r="O41" s="367"/>
      <c r="P41" s="367"/>
      <c r="Q41" s="473" t="s">
        <v>455</v>
      </c>
      <c r="R41" s="473">
        <v>-124</v>
      </c>
      <c r="S41" s="367"/>
      <c r="T41" s="474" t="s">
        <v>2272</v>
      </c>
      <c r="U41" s="475" t="s">
        <v>2273</v>
      </c>
      <c r="V41" s="476">
        <v>24.62</v>
      </c>
    </row>
    <row r="42" spans="3:22" ht="25.5">
      <c r="C42" s="543"/>
      <c r="D42" s="551"/>
      <c r="E42" s="156" t="s">
        <v>128</v>
      </c>
      <c r="F42" s="377">
        <v>0</v>
      </c>
      <c r="G42" s="163">
        <v>0</v>
      </c>
      <c r="H42" s="163" t="s">
        <v>2270</v>
      </c>
      <c r="I42" s="163">
        <v>0</v>
      </c>
      <c r="J42" s="472" t="s">
        <v>2271</v>
      </c>
      <c r="K42" s="367"/>
      <c r="L42" s="367"/>
      <c r="M42" s="367"/>
      <c r="N42" s="367"/>
      <c r="O42" s="367"/>
      <c r="P42" s="367"/>
      <c r="Q42" s="473" t="s">
        <v>455</v>
      </c>
      <c r="R42" s="473">
        <v>-124</v>
      </c>
      <c r="S42" s="367"/>
      <c r="T42" s="474" t="s">
        <v>2272</v>
      </c>
      <c r="U42" s="475" t="s">
        <v>2273</v>
      </c>
      <c r="V42" s="476">
        <v>24.62</v>
      </c>
    </row>
    <row r="43" spans="3:22" ht="25.5">
      <c r="C43" s="543"/>
      <c r="D43" s="551"/>
      <c r="E43" s="156" t="s">
        <v>130</v>
      </c>
      <c r="F43" s="377">
        <v>0</v>
      </c>
      <c r="G43" s="163">
        <v>0</v>
      </c>
      <c r="H43" s="163" t="s">
        <v>2270</v>
      </c>
      <c r="I43" s="163">
        <v>0</v>
      </c>
      <c r="J43" s="472" t="s">
        <v>2271</v>
      </c>
      <c r="K43" s="367"/>
      <c r="L43" s="367"/>
      <c r="M43" s="367"/>
      <c r="N43" s="367"/>
      <c r="O43" s="367"/>
      <c r="P43" s="367"/>
      <c r="Q43" s="473" t="s">
        <v>455</v>
      </c>
      <c r="R43" s="473">
        <v>-124</v>
      </c>
      <c r="S43" s="367"/>
      <c r="T43" s="474" t="s">
        <v>2272</v>
      </c>
      <c r="U43" s="475" t="s">
        <v>2273</v>
      </c>
      <c r="V43" s="476">
        <v>24.62</v>
      </c>
    </row>
    <row r="44" spans="3:22" ht="25.5">
      <c r="C44" s="543"/>
      <c r="D44" s="551"/>
      <c r="E44" s="156" t="s">
        <v>132</v>
      </c>
      <c r="F44" s="377">
        <v>0</v>
      </c>
      <c r="G44" s="163">
        <v>0</v>
      </c>
      <c r="H44" s="163" t="s">
        <v>2270</v>
      </c>
      <c r="I44" s="163">
        <v>0</v>
      </c>
      <c r="J44" s="472" t="s">
        <v>2271</v>
      </c>
      <c r="K44" s="367"/>
      <c r="L44" s="367"/>
      <c r="M44" s="367"/>
      <c r="N44" s="367"/>
      <c r="O44" s="367"/>
      <c r="P44" s="367"/>
      <c r="Q44" s="473" t="s">
        <v>455</v>
      </c>
      <c r="R44" s="473">
        <v>-124</v>
      </c>
      <c r="S44" s="367"/>
      <c r="T44" s="474" t="s">
        <v>2272</v>
      </c>
      <c r="U44" s="475" t="s">
        <v>2273</v>
      </c>
      <c r="V44" s="476">
        <v>24.62</v>
      </c>
    </row>
    <row r="45" spans="3:22">
      <c r="C45" s="543"/>
      <c r="D45" s="551"/>
      <c r="E45" s="156" t="s">
        <v>134</v>
      </c>
      <c r="F45" s="377">
        <v>0</v>
      </c>
      <c r="G45" s="163">
        <v>0</v>
      </c>
      <c r="H45" s="163" t="s">
        <v>2191</v>
      </c>
      <c r="I45" s="163" t="s">
        <v>2191</v>
      </c>
      <c r="J45" s="366"/>
      <c r="K45" s="367"/>
      <c r="L45" s="367"/>
      <c r="M45" s="367"/>
      <c r="N45" s="367"/>
      <c r="O45" s="367"/>
      <c r="P45" s="367"/>
      <c r="Q45" s="367"/>
      <c r="R45" s="473"/>
      <c r="S45" s="367"/>
      <c r="T45" s="473"/>
      <c r="U45" s="473"/>
      <c r="V45" s="473"/>
    </row>
    <row r="46" spans="3:22">
      <c r="C46" s="543"/>
      <c r="D46" s="551"/>
      <c r="E46" s="156" t="s">
        <v>136</v>
      </c>
      <c r="F46" s="377">
        <v>0</v>
      </c>
      <c r="G46" s="163">
        <v>0</v>
      </c>
      <c r="H46" s="163" t="s">
        <v>2191</v>
      </c>
      <c r="I46" s="163" t="s">
        <v>2191</v>
      </c>
      <c r="J46" s="366"/>
      <c r="K46" s="367"/>
      <c r="L46" s="367"/>
      <c r="M46" s="367"/>
      <c r="N46" s="367"/>
      <c r="O46" s="367"/>
      <c r="P46" s="367"/>
      <c r="Q46" s="367"/>
      <c r="R46" s="473"/>
      <c r="S46" s="367"/>
      <c r="T46" s="473"/>
      <c r="U46" s="473"/>
      <c r="V46" s="473"/>
    </row>
    <row r="47" spans="3:22">
      <c r="C47" s="543"/>
      <c r="D47" s="551"/>
      <c r="E47" s="156" t="s">
        <v>138</v>
      </c>
      <c r="F47" s="377">
        <v>0</v>
      </c>
      <c r="G47" s="163">
        <v>0</v>
      </c>
      <c r="H47" s="163" t="s">
        <v>2191</v>
      </c>
      <c r="I47" s="163" t="s">
        <v>2191</v>
      </c>
      <c r="J47" s="366"/>
      <c r="K47" s="367"/>
      <c r="L47" s="367"/>
      <c r="M47" s="367"/>
      <c r="N47" s="367"/>
      <c r="O47" s="367"/>
      <c r="P47" s="367"/>
      <c r="Q47" s="367"/>
      <c r="R47" s="473"/>
      <c r="S47" s="367"/>
      <c r="T47" s="473"/>
      <c r="U47" s="473"/>
      <c r="V47" s="473"/>
    </row>
    <row r="48" spans="3:22" ht="25.5">
      <c r="C48" s="543"/>
      <c r="D48" s="551"/>
      <c r="E48" s="156" t="s">
        <v>144</v>
      </c>
      <c r="F48" s="377">
        <v>0</v>
      </c>
      <c r="G48" s="163">
        <v>0</v>
      </c>
      <c r="H48" s="163" t="s">
        <v>2270</v>
      </c>
      <c r="I48" s="163">
        <v>0</v>
      </c>
      <c r="J48" s="472" t="s">
        <v>2271</v>
      </c>
      <c r="K48" s="367"/>
      <c r="L48" s="367"/>
      <c r="M48" s="367"/>
      <c r="N48" s="367"/>
      <c r="O48" s="367"/>
      <c r="P48" s="367"/>
      <c r="Q48" s="473" t="s">
        <v>455</v>
      </c>
      <c r="R48" s="473">
        <v>-124</v>
      </c>
      <c r="S48" s="367"/>
      <c r="T48" s="474" t="s">
        <v>2272</v>
      </c>
      <c r="U48" s="475" t="s">
        <v>2273</v>
      </c>
      <c r="V48" s="476">
        <v>24.62</v>
      </c>
    </row>
    <row r="49" spans="3:22" ht="25.5">
      <c r="C49" s="543"/>
      <c r="D49" s="551"/>
      <c r="E49" s="156" t="s">
        <v>146</v>
      </c>
      <c r="F49" s="377">
        <v>0</v>
      </c>
      <c r="G49" s="163">
        <v>0</v>
      </c>
      <c r="H49" s="163" t="s">
        <v>2270</v>
      </c>
      <c r="I49" s="163">
        <v>0</v>
      </c>
      <c r="J49" s="472" t="s">
        <v>2271</v>
      </c>
      <c r="K49" s="367"/>
      <c r="L49" s="367"/>
      <c r="M49" s="367"/>
      <c r="N49" s="367"/>
      <c r="O49" s="367"/>
      <c r="P49" s="367"/>
      <c r="Q49" s="473" t="s">
        <v>455</v>
      </c>
      <c r="R49" s="473">
        <v>-124</v>
      </c>
      <c r="S49" s="367"/>
      <c r="T49" s="474" t="s">
        <v>2272</v>
      </c>
      <c r="U49" s="475" t="s">
        <v>2273</v>
      </c>
      <c r="V49" s="476">
        <v>24.62</v>
      </c>
    </row>
    <row r="50" spans="3:22" ht="25.5">
      <c r="C50" s="543"/>
      <c r="D50" s="551"/>
      <c r="E50" s="156" t="s">
        <v>148</v>
      </c>
      <c r="F50" s="377">
        <v>0</v>
      </c>
      <c r="G50" s="163">
        <v>0</v>
      </c>
      <c r="H50" s="163" t="s">
        <v>2270</v>
      </c>
      <c r="I50" s="163">
        <v>0</v>
      </c>
      <c r="J50" s="472" t="s">
        <v>2271</v>
      </c>
      <c r="K50" s="367"/>
      <c r="L50" s="367"/>
      <c r="M50" s="367"/>
      <c r="N50" s="367"/>
      <c r="O50" s="367"/>
      <c r="P50" s="367"/>
      <c r="Q50" s="473" t="s">
        <v>455</v>
      </c>
      <c r="R50" s="473">
        <v>-124</v>
      </c>
      <c r="S50" s="367"/>
      <c r="T50" s="474" t="s">
        <v>2272</v>
      </c>
      <c r="U50" s="475" t="s">
        <v>2273</v>
      </c>
      <c r="V50" s="476">
        <v>24.62</v>
      </c>
    </row>
    <row r="51" spans="3:22" ht="25.5">
      <c r="C51" s="543"/>
      <c r="D51" s="551"/>
      <c r="E51" s="156" t="s">
        <v>150</v>
      </c>
      <c r="F51" s="377">
        <v>0</v>
      </c>
      <c r="G51" s="163">
        <v>0</v>
      </c>
      <c r="H51" s="163" t="s">
        <v>2270</v>
      </c>
      <c r="I51" s="163">
        <v>0</v>
      </c>
      <c r="J51" s="472" t="s">
        <v>2271</v>
      </c>
      <c r="K51" s="367"/>
      <c r="L51" s="367"/>
      <c r="M51" s="367"/>
      <c r="N51" s="367"/>
      <c r="O51" s="367"/>
      <c r="P51" s="367"/>
      <c r="Q51" s="473" t="s">
        <v>455</v>
      </c>
      <c r="R51" s="473">
        <v>-124</v>
      </c>
      <c r="S51" s="367"/>
      <c r="T51" s="474" t="s">
        <v>2272</v>
      </c>
      <c r="U51" s="475" t="s">
        <v>2273</v>
      </c>
      <c r="V51" s="476">
        <v>24.62</v>
      </c>
    </row>
    <row r="52" spans="3:22" ht="25.5">
      <c r="C52" s="543"/>
      <c r="D52" s="551"/>
      <c r="E52" s="156" t="s">
        <v>152</v>
      </c>
      <c r="F52" s="377">
        <v>0</v>
      </c>
      <c r="G52" s="163">
        <v>0</v>
      </c>
      <c r="H52" s="163" t="s">
        <v>2270</v>
      </c>
      <c r="I52" s="163">
        <v>0</v>
      </c>
      <c r="J52" s="472" t="s">
        <v>2271</v>
      </c>
      <c r="K52" s="367"/>
      <c r="L52" s="367"/>
      <c r="M52" s="367"/>
      <c r="N52" s="367"/>
      <c r="O52" s="367"/>
      <c r="P52" s="367"/>
      <c r="Q52" s="473" t="s">
        <v>455</v>
      </c>
      <c r="R52" s="473">
        <v>-124</v>
      </c>
      <c r="S52" s="367"/>
      <c r="T52" s="474" t="s">
        <v>2272</v>
      </c>
      <c r="U52" s="475" t="s">
        <v>2273</v>
      </c>
      <c r="V52" s="476">
        <v>24.62</v>
      </c>
    </row>
    <row r="53" spans="3:22">
      <c r="C53" s="543"/>
      <c r="D53" s="551"/>
      <c r="E53" s="156" t="s">
        <v>140</v>
      </c>
      <c r="F53" s="377" t="s">
        <v>2191</v>
      </c>
      <c r="G53" s="163" t="s">
        <v>2191</v>
      </c>
      <c r="H53" s="163" t="s">
        <v>2191</v>
      </c>
      <c r="I53" s="163" t="s">
        <v>2191</v>
      </c>
      <c r="J53" s="366"/>
      <c r="K53" s="367"/>
      <c r="L53" s="367"/>
      <c r="M53" s="367"/>
      <c r="N53" s="367"/>
      <c r="O53" s="367"/>
      <c r="P53" s="367"/>
      <c r="Q53" s="367"/>
      <c r="R53" s="473"/>
      <c r="S53" s="367"/>
      <c r="T53" s="473"/>
      <c r="U53" s="473"/>
      <c r="V53" s="473"/>
    </row>
    <row r="54" spans="3:22">
      <c r="C54" s="543"/>
      <c r="D54" s="551"/>
      <c r="E54" s="156" t="s">
        <v>142</v>
      </c>
      <c r="F54" s="377">
        <v>0</v>
      </c>
      <c r="G54" s="163">
        <v>0</v>
      </c>
      <c r="H54" s="163" t="s">
        <v>2191</v>
      </c>
      <c r="I54" s="163" t="s">
        <v>2191</v>
      </c>
      <c r="J54" s="366"/>
      <c r="K54" s="367"/>
      <c r="L54" s="367"/>
      <c r="M54" s="367"/>
      <c r="N54" s="367"/>
      <c r="O54" s="367"/>
      <c r="P54" s="367"/>
      <c r="Q54" s="367"/>
      <c r="R54" s="473"/>
      <c r="S54" s="367"/>
      <c r="T54" s="473"/>
      <c r="U54" s="473"/>
      <c r="V54" s="473"/>
    </row>
    <row r="55" spans="3:22">
      <c r="C55" s="543"/>
      <c r="D55" s="551"/>
      <c r="E55" s="156" t="s">
        <v>154</v>
      </c>
      <c r="F55" s="377">
        <v>0</v>
      </c>
      <c r="G55" s="163">
        <v>0</v>
      </c>
      <c r="H55" s="163" t="s">
        <v>2191</v>
      </c>
      <c r="I55" s="163" t="s">
        <v>2191</v>
      </c>
      <c r="J55" s="366"/>
      <c r="K55" s="367"/>
      <c r="L55" s="367"/>
      <c r="M55" s="367"/>
      <c r="N55" s="367"/>
      <c r="O55" s="367"/>
      <c r="P55" s="367"/>
      <c r="Q55" s="367"/>
      <c r="R55" s="473"/>
      <c r="S55" s="367"/>
      <c r="T55" s="473"/>
      <c r="U55" s="473"/>
      <c r="V55" s="473"/>
    </row>
    <row r="56" spans="3:22">
      <c r="C56" s="543"/>
      <c r="D56" s="551"/>
      <c r="E56" s="156" t="s">
        <v>156</v>
      </c>
      <c r="F56" s="377">
        <v>0</v>
      </c>
      <c r="G56" s="163">
        <v>0</v>
      </c>
      <c r="H56" s="163" t="s">
        <v>2191</v>
      </c>
      <c r="I56" s="163" t="s">
        <v>2191</v>
      </c>
      <c r="J56" s="366"/>
      <c r="K56" s="367"/>
      <c r="L56" s="367"/>
      <c r="M56" s="367"/>
      <c r="N56" s="367"/>
      <c r="O56" s="367"/>
      <c r="P56" s="367"/>
      <c r="Q56" s="367"/>
      <c r="R56" s="473"/>
      <c r="S56" s="367"/>
      <c r="T56" s="473"/>
      <c r="U56" s="473"/>
      <c r="V56" s="473"/>
    </row>
    <row r="57" spans="3:22">
      <c r="C57" s="543"/>
      <c r="D57" s="551"/>
      <c r="E57" s="156" t="s">
        <v>158</v>
      </c>
      <c r="F57" s="377">
        <v>0</v>
      </c>
      <c r="G57" s="163">
        <v>0</v>
      </c>
      <c r="H57" s="163" t="s">
        <v>2191</v>
      </c>
      <c r="I57" s="163" t="s">
        <v>2191</v>
      </c>
      <c r="J57" s="366"/>
      <c r="K57" s="367"/>
      <c r="L57" s="367"/>
      <c r="M57" s="367"/>
      <c r="N57" s="367"/>
      <c r="O57" s="367"/>
      <c r="P57" s="367"/>
      <c r="Q57" s="367"/>
      <c r="R57" s="473"/>
      <c r="S57" s="367"/>
      <c r="T57" s="473"/>
      <c r="U57" s="473"/>
      <c r="V57" s="473"/>
    </row>
    <row r="58" spans="3:22" ht="25.5">
      <c r="C58" s="543"/>
      <c r="D58" s="551"/>
      <c r="E58" s="156" t="s">
        <v>160</v>
      </c>
      <c r="F58" s="377">
        <v>0</v>
      </c>
      <c r="G58" s="163">
        <v>0</v>
      </c>
      <c r="H58" s="163">
        <v>0</v>
      </c>
      <c r="I58" s="482">
        <v>0</v>
      </c>
      <c r="J58" s="473" t="s">
        <v>2271</v>
      </c>
      <c r="K58" s="367"/>
      <c r="L58" s="367"/>
      <c r="M58" s="367"/>
      <c r="N58" s="367"/>
      <c r="O58" s="367"/>
      <c r="P58" s="367"/>
      <c r="Q58" s="473" t="s">
        <v>455</v>
      </c>
      <c r="R58" s="473">
        <v>-124</v>
      </c>
      <c r="S58" s="367"/>
      <c r="T58" s="474" t="s">
        <v>2272</v>
      </c>
      <c r="U58" s="475" t="s">
        <v>2273</v>
      </c>
      <c r="V58" s="476">
        <v>24.62</v>
      </c>
    </row>
    <row r="59" spans="3:22" ht="25.5">
      <c r="C59" s="543"/>
      <c r="D59" s="551"/>
      <c r="E59" s="156" t="s">
        <v>162</v>
      </c>
      <c r="F59" s="377">
        <v>0</v>
      </c>
      <c r="G59" s="163">
        <v>0</v>
      </c>
      <c r="H59" s="163">
        <v>0</v>
      </c>
      <c r="I59" s="482">
        <v>0</v>
      </c>
      <c r="J59" s="473" t="s">
        <v>2271</v>
      </c>
      <c r="K59" s="367"/>
      <c r="L59" s="367"/>
      <c r="M59" s="367"/>
      <c r="N59" s="367"/>
      <c r="O59" s="367"/>
      <c r="P59" s="367"/>
      <c r="Q59" s="473" t="s">
        <v>455</v>
      </c>
      <c r="R59" s="473">
        <v>-124</v>
      </c>
      <c r="S59" s="367"/>
      <c r="T59" s="474" t="s">
        <v>2272</v>
      </c>
      <c r="U59" s="475" t="s">
        <v>2273</v>
      </c>
      <c r="V59" s="476">
        <v>24.62</v>
      </c>
    </row>
    <row r="60" spans="3:22" ht="25.5">
      <c r="C60" s="543"/>
      <c r="D60" s="551"/>
      <c r="E60" s="156" t="s">
        <v>164</v>
      </c>
      <c r="F60" s="377">
        <v>0</v>
      </c>
      <c r="G60" s="163">
        <v>0</v>
      </c>
      <c r="H60" s="163">
        <v>0</v>
      </c>
      <c r="I60" s="482">
        <v>0</v>
      </c>
      <c r="J60" s="473" t="s">
        <v>2271</v>
      </c>
      <c r="K60" s="367"/>
      <c r="L60" s="367"/>
      <c r="M60" s="367"/>
      <c r="N60" s="367"/>
      <c r="O60" s="367"/>
      <c r="P60" s="367"/>
      <c r="Q60" s="473" t="s">
        <v>455</v>
      </c>
      <c r="R60" s="473">
        <v>-124</v>
      </c>
      <c r="S60" s="367"/>
      <c r="T60" s="474" t="s">
        <v>2272</v>
      </c>
      <c r="U60" s="475" t="s">
        <v>2273</v>
      </c>
      <c r="V60" s="476">
        <v>24.62</v>
      </c>
    </row>
    <row r="61" spans="3:22" ht="25.5">
      <c r="C61" s="543"/>
      <c r="D61" s="551"/>
      <c r="E61" s="156" t="s">
        <v>166</v>
      </c>
      <c r="F61" s="377">
        <v>0</v>
      </c>
      <c r="G61" s="163">
        <v>0</v>
      </c>
      <c r="H61" s="163">
        <v>0</v>
      </c>
      <c r="I61" s="482">
        <v>0</v>
      </c>
      <c r="J61" s="473" t="s">
        <v>2271</v>
      </c>
      <c r="K61" s="367"/>
      <c r="L61" s="367"/>
      <c r="M61" s="367"/>
      <c r="N61" s="367"/>
      <c r="O61" s="367"/>
      <c r="P61" s="367"/>
      <c r="Q61" s="473" t="s">
        <v>455</v>
      </c>
      <c r="R61" s="473">
        <v>-124</v>
      </c>
      <c r="S61" s="367"/>
      <c r="T61" s="474" t="s">
        <v>2272</v>
      </c>
      <c r="U61" s="475" t="s">
        <v>2273</v>
      </c>
      <c r="V61" s="476">
        <v>24.62</v>
      </c>
    </row>
    <row r="62" spans="3:22" ht="25.5">
      <c r="C62" s="543"/>
      <c r="D62" s="551"/>
      <c r="E62" s="156" t="s">
        <v>168</v>
      </c>
      <c r="F62" s="377">
        <v>0</v>
      </c>
      <c r="G62" s="163">
        <v>0</v>
      </c>
      <c r="H62" s="163">
        <v>0</v>
      </c>
      <c r="I62" s="482">
        <v>0</v>
      </c>
      <c r="J62" s="473" t="s">
        <v>2271</v>
      </c>
      <c r="K62" s="367"/>
      <c r="L62" s="367"/>
      <c r="M62" s="367"/>
      <c r="N62" s="367"/>
      <c r="O62" s="367"/>
      <c r="P62" s="367"/>
      <c r="Q62" s="473" t="s">
        <v>455</v>
      </c>
      <c r="R62" s="473">
        <v>-124</v>
      </c>
      <c r="S62" s="367"/>
      <c r="T62" s="474" t="s">
        <v>2272</v>
      </c>
      <c r="U62" s="475" t="s">
        <v>2273</v>
      </c>
      <c r="V62" s="476">
        <v>24.62</v>
      </c>
    </row>
    <row r="63" spans="3:22">
      <c r="C63" s="543"/>
      <c r="D63" s="551"/>
      <c r="E63" s="156" t="s">
        <v>170</v>
      </c>
      <c r="F63" s="377">
        <v>0</v>
      </c>
      <c r="G63" s="163">
        <v>0</v>
      </c>
      <c r="H63" s="163" t="s">
        <v>2191</v>
      </c>
      <c r="I63" s="163" t="s">
        <v>2191</v>
      </c>
      <c r="J63" s="366"/>
      <c r="K63" s="367"/>
      <c r="L63" s="367"/>
      <c r="M63" s="367"/>
      <c r="N63" s="367"/>
      <c r="O63" s="367"/>
      <c r="P63" s="367"/>
      <c r="Q63" s="367"/>
      <c r="R63" s="473"/>
      <c r="S63" s="367"/>
      <c r="T63" s="473"/>
      <c r="U63" s="473"/>
      <c r="V63" s="473"/>
    </row>
    <row r="64" spans="3:22">
      <c r="C64" s="543"/>
      <c r="D64" s="551"/>
      <c r="E64" s="156" t="s">
        <v>172</v>
      </c>
      <c r="F64" s="377">
        <v>0</v>
      </c>
      <c r="G64" s="163">
        <v>0</v>
      </c>
      <c r="H64" s="163" t="s">
        <v>2191</v>
      </c>
      <c r="I64" s="163" t="s">
        <v>2191</v>
      </c>
      <c r="J64" s="366"/>
      <c r="K64" s="367"/>
      <c r="L64" s="367"/>
      <c r="M64" s="367"/>
      <c r="N64" s="367"/>
      <c r="O64" s="367"/>
      <c r="P64" s="367"/>
      <c r="Q64" s="367"/>
      <c r="R64" s="473"/>
      <c r="S64" s="367"/>
      <c r="T64" s="473"/>
      <c r="U64" s="473"/>
      <c r="V64" s="473"/>
    </row>
    <row r="65" spans="3:22">
      <c r="C65" s="543"/>
      <c r="D65" s="551"/>
      <c r="E65" s="156" t="s">
        <v>174</v>
      </c>
      <c r="F65" s="377">
        <v>0</v>
      </c>
      <c r="G65" s="163">
        <v>0</v>
      </c>
      <c r="H65" s="163" t="s">
        <v>2191</v>
      </c>
      <c r="I65" s="163" t="s">
        <v>2191</v>
      </c>
      <c r="J65" s="366"/>
      <c r="K65" s="367"/>
      <c r="L65" s="367"/>
      <c r="M65" s="367"/>
      <c r="N65" s="367"/>
      <c r="O65" s="367"/>
      <c r="P65" s="367"/>
      <c r="Q65" s="367"/>
      <c r="R65" s="473"/>
      <c r="S65" s="367"/>
      <c r="T65" s="473"/>
      <c r="U65" s="473"/>
      <c r="V65" s="473"/>
    </row>
    <row r="66" spans="3:22">
      <c r="C66" s="544"/>
      <c r="D66" s="562"/>
      <c r="E66" s="156" t="s">
        <v>176</v>
      </c>
      <c r="F66" s="369">
        <v>0</v>
      </c>
      <c r="G66" s="88">
        <v>0</v>
      </c>
      <c r="H66" s="378" t="s">
        <v>2191</v>
      </c>
      <c r="I66" s="88" t="s">
        <v>2191</v>
      </c>
      <c r="J66" s="366"/>
      <c r="K66" s="367"/>
      <c r="L66" s="367"/>
      <c r="M66" s="367"/>
      <c r="N66" s="367"/>
      <c r="O66" s="367"/>
      <c r="P66" s="367"/>
      <c r="Q66" s="367"/>
      <c r="R66" s="473"/>
      <c r="S66" s="367"/>
      <c r="T66" s="473"/>
      <c r="U66" s="473"/>
      <c r="V66" s="473"/>
    </row>
    <row r="67" spans="3:22">
      <c r="C67" s="501"/>
      <c r="D67" s="501"/>
      <c r="E67" s="502"/>
      <c r="F67" s="367"/>
      <c r="G67" s="367"/>
      <c r="H67" s="163"/>
      <c r="I67" s="367"/>
      <c r="J67" s="367"/>
      <c r="K67" s="367"/>
      <c r="L67" s="367"/>
      <c r="M67" s="367"/>
      <c r="N67" s="367"/>
      <c r="O67" s="367"/>
      <c r="P67" s="367"/>
      <c r="Q67" s="367"/>
      <c r="R67" s="473"/>
      <c r="S67" s="367"/>
      <c r="T67" s="473"/>
      <c r="U67" s="473"/>
      <c r="V67" s="473"/>
    </row>
    <row r="68" spans="3:22">
      <c r="E68" t="s">
        <v>2369</v>
      </c>
      <c r="F68" t="s">
        <v>110</v>
      </c>
      <c r="G68" t="s">
        <v>2370</v>
      </c>
      <c r="I68" s="376"/>
    </row>
    <row r="69" spans="3:22">
      <c r="C69" s="559" t="s">
        <v>2363</v>
      </c>
      <c r="D69" s="561" t="s">
        <v>2364</v>
      </c>
      <c r="E69" s="47" t="s">
        <v>337</v>
      </c>
      <c r="F69" s="514">
        <v>1</v>
      </c>
      <c r="G69" s="515"/>
      <c r="H69" s="515"/>
    </row>
    <row r="70" spans="3:22">
      <c r="C70" s="560"/>
      <c r="D70" s="551"/>
      <c r="E70" s="47" t="s">
        <v>335</v>
      </c>
      <c r="F70" s="516">
        <v>1</v>
      </c>
      <c r="G70" s="517"/>
      <c r="H70" s="517"/>
    </row>
    <row r="71" spans="3:22">
      <c r="C71" s="560"/>
      <c r="D71" s="551"/>
      <c r="E71" s="47" t="s">
        <v>339</v>
      </c>
      <c r="F71" s="516"/>
      <c r="G71" s="517"/>
      <c r="H71" s="517"/>
    </row>
    <row r="72" spans="3:22">
      <c r="C72" s="560"/>
      <c r="D72" s="551"/>
      <c r="E72" s="141" t="s">
        <v>340</v>
      </c>
      <c r="F72" s="516"/>
      <c r="G72" s="517"/>
      <c r="H72" s="517"/>
    </row>
    <row r="73" spans="3:22">
      <c r="C73" s="560"/>
      <c r="D73" s="551"/>
      <c r="E73" s="47" t="s">
        <v>341</v>
      </c>
      <c r="F73" s="516"/>
      <c r="G73" s="517"/>
      <c r="H73" s="517"/>
    </row>
    <row r="74" spans="3:22">
      <c r="C74" s="560"/>
      <c r="D74" s="551"/>
      <c r="E74" s="47" t="s">
        <v>344</v>
      </c>
      <c r="F74" s="516"/>
      <c r="G74" s="517"/>
      <c r="H74" s="517"/>
    </row>
    <row r="75" spans="3:22">
      <c r="C75" s="560"/>
      <c r="D75" s="551"/>
      <c r="E75" s="47" t="s">
        <v>342</v>
      </c>
      <c r="F75" s="516"/>
      <c r="G75" s="517"/>
      <c r="H75" s="517"/>
    </row>
    <row r="76" spans="3:22">
      <c r="C76" s="560"/>
      <c r="D76" s="551"/>
      <c r="E76" s="47" t="s">
        <v>369</v>
      </c>
      <c r="F76" s="516"/>
      <c r="G76" s="517"/>
      <c r="H76" s="517"/>
    </row>
    <row r="77" spans="3:22">
      <c r="C77" s="560"/>
      <c r="D77" s="551"/>
      <c r="E77" s="47" t="s">
        <v>346</v>
      </c>
      <c r="F77" s="516"/>
      <c r="G77" s="517"/>
      <c r="H77" s="517"/>
    </row>
    <row r="78" spans="3:22">
      <c r="C78" s="560"/>
      <c r="D78" s="551"/>
      <c r="E78" s="47" t="s">
        <v>348</v>
      </c>
      <c r="F78" s="516"/>
      <c r="G78" s="517"/>
      <c r="H78" s="517"/>
    </row>
    <row r="79" spans="3:22">
      <c r="C79" s="560"/>
      <c r="D79" s="551"/>
      <c r="E79" s="47" t="s">
        <v>371</v>
      </c>
      <c r="F79" s="516"/>
      <c r="G79" s="517"/>
      <c r="H79" s="517"/>
    </row>
    <row r="80" spans="3:22">
      <c r="C80" s="560"/>
      <c r="D80" s="551"/>
      <c r="E80" s="47" t="s">
        <v>350</v>
      </c>
      <c r="F80" s="516"/>
      <c r="G80" s="517">
        <v>1</v>
      </c>
      <c r="H80" s="517"/>
    </row>
    <row r="81" spans="3:8">
      <c r="C81" s="560"/>
      <c r="D81" s="551"/>
      <c r="E81" s="47" t="s">
        <v>351</v>
      </c>
      <c r="F81" s="516"/>
      <c r="G81" s="517">
        <v>1</v>
      </c>
      <c r="H81" s="517"/>
    </row>
    <row r="82" spans="3:8">
      <c r="C82" s="560"/>
      <c r="D82" s="551"/>
      <c r="E82" s="47" t="s">
        <v>352</v>
      </c>
      <c r="F82" s="516"/>
      <c r="G82" s="517">
        <v>1</v>
      </c>
      <c r="H82" s="517"/>
    </row>
    <row r="83" spans="3:8">
      <c r="C83" s="560"/>
      <c r="D83" s="551"/>
      <c r="E83" s="47" t="s">
        <v>355</v>
      </c>
      <c r="F83" s="516"/>
      <c r="G83" s="517">
        <v>1</v>
      </c>
      <c r="H83" s="517"/>
    </row>
    <row r="84" spans="3:8">
      <c r="C84" s="560"/>
      <c r="D84" s="551"/>
      <c r="E84" s="47" t="s">
        <v>353</v>
      </c>
      <c r="F84" s="516"/>
      <c r="G84" s="517">
        <v>1</v>
      </c>
      <c r="H84" s="517"/>
    </row>
    <row r="85" spans="3:8">
      <c r="C85" s="560"/>
      <c r="D85" s="551"/>
      <c r="E85" s="47" t="s">
        <v>357</v>
      </c>
      <c r="F85" s="516"/>
      <c r="G85" s="517">
        <v>1</v>
      </c>
      <c r="H85" s="517"/>
    </row>
    <row r="86" spans="3:8">
      <c r="C86" s="560"/>
      <c r="D86" s="551"/>
      <c r="E86" s="47" t="s">
        <v>359</v>
      </c>
      <c r="F86" s="516"/>
      <c r="G86" s="517">
        <v>1</v>
      </c>
      <c r="H86" s="517"/>
    </row>
    <row r="87" spans="3:8">
      <c r="C87" s="560"/>
      <c r="D87" s="551"/>
      <c r="E87" s="47" t="s">
        <v>356</v>
      </c>
      <c r="F87" s="516"/>
      <c r="G87" s="517">
        <v>1</v>
      </c>
      <c r="H87" s="517"/>
    </row>
    <row r="88" spans="3:8">
      <c r="C88" s="560"/>
      <c r="D88" s="551"/>
      <c r="E88" s="47" t="s">
        <v>360</v>
      </c>
      <c r="F88" s="516"/>
      <c r="G88" s="517">
        <v>1</v>
      </c>
      <c r="H88" s="517"/>
    </row>
    <row r="89" spans="3:8">
      <c r="C89" s="560"/>
      <c r="D89" s="551"/>
      <c r="E89" s="47" t="s">
        <v>362</v>
      </c>
      <c r="F89" s="516"/>
      <c r="G89" s="517">
        <v>1</v>
      </c>
      <c r="H89" s="517"/>
    </row>
    <row r="90" spans="3:8">
      <c r="C90" s="560"/>
      <c r="D90" s="551"/>
      <c r="E90" s="47" t="s">
        <v>364</v>
      </c>
      <c r="F90" s="516"/>
      <c r="G90" s="517"/>
      <c r="H90" s="517"/>
    </row>
    <row r="91" spans="3:8">
      <c r="C91" s="560"/>
      <c r="D91" s="551"/>
      <c r="E91" s="47" t="s">
        <v>366</v>
      </c>
      <c r="F91" s="516"/>
      <c r="G91" s="517"/>
      <c r="H91" s="517"/>
    </row>
    <row r="92" spans="3:8">
      <c r="C92" s="560"/>
      <c r="D92" s="551"/>
      <c r="E92" s="47" t="s">
        <v>367</v>
      </c>
      <c r="F92" s="516"/>
      <c r="G92" s="517"/>
      <c r="H92" s="517"/>
    </row>
    <row r="93" spans="3:8">
      <c r="C93" s="560"/>
      <c r="D93" s="561" t="s">
        <v>2365</v>
      </c>
      <c r="E93" s="47" t="s">
        <v>331</v>
      </c>
      <c r="F93" s="516"/>
      <c r="G93" s="517"/>
      <c r="H93" s="517"/>
    </row>
    <row r="94" spans="3:8">
      <c r="C94" s="560"/>
      <c r="D94" s="551"/>
      <c r="E94" s="47" t="s">
        <v>333</v>
      </c>
      <c r="F94" s="516"/>
      <c r="G94" s="517"/>
      <c r="H94" s="517"/>
    </row>
    <row r="95" spans="3:8">
      <c r="C95" s="560"/>
      <c r="D95" s="551"/>
      <c r="E95" s="47" t="s">
        <v>285</v>
      </c>
      <c r="F95" s="516">
        <v>1</v>
      </c>
      <c r="G95" s="517"/>
      <c r="H95" s="517"/>
    </row>
    <row r="96" spans="3:8">
      <c r="C96" s="560"/>
      <c r="D96" s="551"/>
      <c r="E96" s="47" t="s">
        <v>283</v>
      </c>
      <c r="F96" s="516">
        <v>1</v>
      </c>
      <c r="G96" s="517"/>
      <c r="H96" s="517"/>
    </row>
    <row r="97" spans="3:8">
      <c r="C97" s="560"/>
      <c r="D97" s="551"/>
      <c r="E97" s="47" t="s">
        <v>287</v>
      </c>
      <c r="F97" s="516"/>
      <c r="G97" s="517"/>
      <c r="H97" s="517"/>
    </row>
    <row r="98" spans="3:8">
      <c r="C98" s="560"/>
      <c r="D98" s="551"/>
      <c r="E98" s="47" t="s">
        <v>289</v>
      </c>
      <c r="F98" s="516"/>
      <c r="G98" s="517"/>
      <c r="H98" s="517"/>
    </row>
    <row r="99" spans="3:8">
      <c r="C99" s="560"/>
      <c r="D99" s="551"/>
      <c r="E99" s="47" t="s">
        <v>291</v>
      </c>
      <c r="F99" s="516"/>
      <c r="G99" s="517"/>
      <c r="H99" s="517"/>
    </row>
    <row r="100" spans="3:8">
      <c r="C100" s="560"/>
      <c r="D100" s="551"/>
      <c r="E100" s="47" t="s">
        <v>299</v>
      </c>
      <c r="F100" s="516"/>
      <c r="G100" s="517"/>
      <c r="H100" s="517"/>
    </row>
    <row r="101" spans="3:8">
      <c r="C101" s="560"/>
      <c r="D101" s="551"/>
      <c r="E101" s="47" t="s">
        <v>307</v>
      </c>
      <c r="F101" s="516"/>
      <c r="G101" s="517"/>
      <c r="H101" s="517"/>
    </row>
    <row r="102" spans="3:8">
      <c r="C102" s="560"/>
      <c r="D102" s="551"/>
      <c r="E102" s="47" t="s">
        <v>303</v>
      </c>
      <c r="F102" s="516"/>
      <c r="G102" s="517"/>
      <c r="H102" s="517"/>
    </row>
    <row r="103" spans="3:8">
      <c r="C103" s="560"/>
      <c r="D103" s="551"/>
      <c r="E103" s="47" t="s">
        <v>305</v>
      </c>
      <c r="F103" s="516"/>
      <c r="G103" s="517"/>
      <c r="H103" s="517"/>
    </row>
    <row r="104" spans="3:8">
      <c r="C104" s="560"/>
      <c r="D104" s="551"/>
      <c r="E104" s="47" t="s">
        <v>301</v>
      </c>
      <c r="F104" s="516"/>
      <c r="G104" s="517"/>
      <c r="H104" s="517"/>
    </row>
    <row r="105" spans="3:8">
      <c r="C105" s="560"/>
      <c r="D105" s="551"/>
      <c r="E105" s="47" t="s">
        <v>295</v>
      </c>
      <c r="F105" s="516"/>
      <c r="G105" s="517"/>
      <c r="H105" s="517"/>
    </row>
    <row r="106" spans="3:8">
      <c r="C106" s="560"/>
      <c r="D106" s="551"/>
      <c r="E106" s="47" t="s">
        <v>297</v>
      </c>
      <c r="F106" s="516"/>
      <c r="G106" s="517"/>
      <c r="H106" s="517"/>
    </row>
    <row r="107" spans="3:8">
      <c r="C107" s="560"/>
      <c r="D107" s="551"/>
      <c r="E107" s="47" t="s">
        <v>293</v>
      </c>
      <c r="F107" s="516"/>
      <c r="G107" s="517"/>
      <c r="H107" s="517"/>
    </row>
    <row r="108" spans="3:8">
      <c r="C108" s="560"/>
      <c r="D108" s="551"/>
      <c r="E108" s="47" t="s">
        <v>309</v>
      </c>
      <c r="F108" s="516"/>
      <c r="G108" s="517"/>
      <c r="H108" s="517"/>
    </row>
    <row r="109" spans="3:8">
      <c r="C109" s="560"/>
      <c r="D109" s="551"/>
      <c r="E109" s="47" t="s">
        <v>311</v>
      </c>
      <c r="F109" s="516"/>
      <c r="G109" s="517">
        <v>1</v>
      </c>
      <c r="H109" s="517"/>
    </row>
    <row r="110" spans="3:8">
      <c r="C110" s="560"/>
      <c r="D110" s="551"/>
      <c r="E110" s="47" t="s">
        <v>313</v>
      </c>
      <c r="F110" s="516"/>
      <c r="G110" s="517">
        <v>1</v>
      </c>
      <c r="H110" s="517"/>
    </row>
    <row r="111" spans="3:8">
      <c r="C111" s="560"/>
      <c r="D111" s="551"/>
      <c r="E111" s="47" t="s">
        <v>315</v>
      </c>
      <c r="F111" s="516"/>
      <c r="G111" s="517">
        <v>1</v>
      </c>
      <c r="H111" s="517"/>
    </row>
    <row r="112" spans="3:8">
      <c r="C112" s="560"/>
      <c r="D112" s="551"/>
      <c r="E112" s="47" t="s">
        <v>317</v>
      </c>
      <c r="F112" s="516"/>
      <c r="G112" s="517">
        <v>1</v>
      </c>
      <c r="H112" s="517"/>
    </row>
    <row r="113" spans="3:8">
      <c r="C113" s="560"/>
      <c r="D113" s="551"/>
      <c r="E113" s="47" t="s">
        <v>319</v>
      </c>
      <c r="F113" s="516"/>
      <c r="G113" s="517">
        <v>1</v>
      </c>
      <c r="H113" s="517"/>
    </row>
    <row r="114" spans="3:8">
      <c r="C114" s="560"/>
      <c r="D114" s="551"/>
      <c r="E114" s="47" t="s">
        <v>321</v>
      </c>
      <c r="F114" s="516"/>
      <c r="G114" s="517">
        <v>1</v>
      </c>
      <c r="H114" s="517"/>
    </row>
    <row r="115" spans="3:8">
      <c r="C115" s="560"/>
      <c r="D115" s="551"/>
      <c r="E115" s="47" t="s">
        <v>323</v>
      </c>
      <c r="F115" s="516"/>
      <c r="G115" s="517">
        <v>1</v>
      </c>
      <c r="H115" s="517"/>
    </row>
    <row r="116" spans="3:8">
      <c r="C116" s="560"/>
      <c r="D116" s="551"/>
      <c r="E116" s="47" t="s">
        <v>325</v>
      </c>
      <c r="F116" s="516"/>
      <c r="G116" s="517">
        <v>1</v>
      </c>
      <c r="H116" s="517"/>
    </row>
    <row r="117" spans="3:8">
      <c r="C117" s="560"/>
      <c r="D117" s="551"/>
      <c r="E117" s="47" t="s">
        <v>327</v>
      </c>
      <c r="F117" s="516"/>
      <c r="G117" s="517"/>
      <c r="H117" s="517"/>
    </row>
    <row r="118" spans="3:8">
      <c r="C118" s="560"/>
      <c r="D118" s="562"/>
      <c r="E118" s="47" t="s">
        <v>329</v>
      </c>
      <c r="F118" s="516"/>
      <c r="G118" s="517"/>
      <c r="H118" s="517"/>
    </row>
    <row r="119" spans="3:8">
      <c r="C119" s="560"/>
      <c r="D119" s="561" t="s">
        <v>2366</v>
      </c>
      <c r="E119" s="142" t="s">
        <v>383</v>
      </c>
      <c r="F119" s="516">
        <v>1</v>
      </c>
      <c r="G119" s="517"/>
      <c r="H119" s="517"/>
    </row>
    <row r="120" spans="3:8">
      <c r="C120" s="560"/>
      <c r="D120" s="551"/>
      <c r="E120" s="142" t="s">
        <v>381</v>
      </c>
      <c r="F120" s="516">
        <v>1</v>
      </c>
      <c r="G120" s="517"/>
      <c r="H120" s="517"/>
    </row>
    <row r="121" spans="3:8">
      <c r="C121" s="560"/>
      <c r="D121" s="551"/>
      <c r="E121" s="142" t="s">
        <v>385</v>
      </c>
      <c r="F121" s="516"/>
      <c r="G121" s="517"/>
      <c r="H121" s="517"/>
    </row>
    <row r="122" spans="3:8">
      <c r="C122" s="560"/>
      <c r="D122" s="551"/>
      <c r="E122" s="142" t="s">
        <v>387</v>
      </c>
      <c r="F122" s="516"/>
      <c r="G122" s="517"/>
      <c r="H122" s="517"/>
    </row>
    <row r="123" spans="3:8">
      <c r="C123" s="560"/>
      <c r="D123" s="551"/>
      <c r="E123" s="142" t="s">
        <v>389</v>
      </c>
      <c r="F123" s="516"/>
      <c r="G123" s="517"/>
      <c r="H123" s="517"/>
    </row>
    <row r="124" spans="3:8">
      <c r="C124" s="560"/>
      <c r="D124" s="551"/>
      <c r="E124" s="142" t="s">
        <v>393</v>
      </c>
      <c r="F124" s="516"/>
      <c r="G124" s="517"/>
      <c r="H124" s="517"/>
    </row>
    <row r="125" spans="3:8">
      <c r="C125" s="560"/>
      <c r="D125" s="551"/>
      <c r="E125" s="142" t="s">
        <v>391</v>
      </c>
      <c r="F125" s="516"/>
      <c r="G125" s="517"/>
      <c r="H125" s="517"/>
    </row>
    <row r="126" spans="3:8">
      <c r="C126" s="560"/>
      <c r="D126" s="551"/>
      <c r="E126" s="142" t="s">
        <v>10</v>
      </c>
      <c r="F126" s="516"/>
      <c r="G126" s="517">
        <v>1</v>
      </c>
      <c r="H126" s="517"/>
    </row>
    <row r="127" spans="3:8">
      <c r="C127" s="560"/>
      <c r="D127" s="551"/>
      <c r="E127" s="142" t="s">
        <v>396</v>
      </c>
      <c r="F127" s="516"/>
      <c r="G127" s="517">
        <v>1</v>
      </c>
      <c r="H127" s="517"/>
    </row>
    <row r="128" spans="3:8">
      <c r="C128" s="560"/>
      <c r="D128" s="551"/>
      <c r="E128" s="142" t="s">
        <v>398</v>
      </c>
      <c r="F128" s="516"/>
      <c r="G128" s="517"/>
      <c r="H128" s="517"/>
    </row>
    <row r="129" spans="2:8">
      <c r="C129" s="560"/>
      <c r="D129" s="551"/>
      <c r="E129" s="142" t="s">
        <v>400</v>
      </c>
      <c r="F129" s="516"/>
      <c r="G129" s="517"/>
      <c r="H129" s="517"/>
    </row>
    <row r="130" spans="2:8">
      <c r="C130" s="560"/>
      <c r="D130" s="563" t="s">
        <v>2367</v>
      </c>
      <c r="E130" s="47" t="s">
        <v>373</v>
      </c>
      <c r="F130" s="516"/>
      <c r="G130" s="517"/>
      <c r="H130" s="517"/>
    </row>
    <row r="131" spans="2:8">
      <c r="C131" s="560"/>
      <c r="D131" s="565"/>
      <c r="E131" s="47" t="s">
        <v>375</v>
      </c>
      <c r="F131" s="516"/>
      <c r="G131" s="517"/>
      <c r="H131" s="517"/>
    </row>
    <row r="132" spans="2:8">
      <c r="C132" s="560"/>
      <c r="D132" s="565"/>
      <c r="E132" s="47" t="s">
        <v>377</v>
      </c>
      <c r="F132" s="516"/>
      <c r="G132" s="517"/>
      <c r="H132" s="517"/>
    </row>
    <row r="133" spans="2:8">
      <c r="C133" s="560"/>
      <c r="D133" s="564"/>
      <c r="E133" s="47" t="s">
        <v>379</v>
      </c>
      <c r="F133" s="516"/>
      <c r="G133" s="517"/>
      <c r="H133" s="517"/>
    </row>
    <row r="134" spans="2:8">
      <c r="B134" t="s">
        <v>2371</v>
      </c>
      <c r="C134" s="560"/>
      <c r="D134" s="563" t="s">
        <v>2193</v>
      </c>
      <c r="E134" s="142" t="s">
        <v>402</v>
      </c>
      <c r="F134" s="516"/>
      <c r="G134" s="517"/>
      <c r="H134" s="517"/>
    </row>
    <row r="135" spans="2:8">
      <c r="B135" t="s">
        <v>2371</v>
      </c>
      <c r="C135" s="560"/>
      <c r="D135" s="564"/>
      <c r="E135" s="142" t="s">
        <v>404</v>
      </c>
      <c r="F135" s="518"/>
      <c r="G135" s="519"/>
      <c r="H135" s="519"/>
    </row>
  </sheetData>
  <mergeCells count="14">
    <mergeCell ref="F4:I4"/>
    <mergeCell ref="J4:V4"/>
    <mergeCell ref="C6:C66"/>
    <mergeCell ref="D6:D23"/>
    <mergeCell ref="J6:P6"/>
    <mergeCell ref="D24:D37"/>
    <mergeCell ref="F28:I33"/>
    <mergeCell ref="D38:D66"/>
    <mergeCell ref="C69:C135"/>
    <mergeCell ref="D69:D92"/>
    <mergeCell ref="D93:D118"/>
    <mergeCell ref="D119:D129"/>
    <mergeCell ref="D130:D133"/>
    <mergeCell ref="D134:D135"/>
  </mergeCells>
  <pageMargins left="0.7" right="0.7" top="0.75" bottom="0.75" header="0.3" footer="0.3"/>
  <pageSetup paperSize="5" scale="37" orientation="portrait" r:id="rId1"/>
  <rowBreaks count="1" manualBreakCount="1">
    <brk id="67" max="16383"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
  <sheetViews>
    <sheetView workbookViewId="0">
      <selection activeCell="C2" sqref="C2:C9"/>
    </sheetView>
  </sheetViews>
  <sheetFormatPr defaultRowHeight="15"/>
  <cols>
    <col min="1" max="1" width="24.28515625" bestFit="1" customWidth="1"/>
    <col min="2" max="2" width="29" bestFit="1" customWidth="1"/>
    <col min="3" max="3" width="22.7109375" bestFit="1" customWidth="1"/>
    <col min="4" max="4" width="30.42578125" bestFit="1" customWidth="1"/>
    <col min="5" max="5" width="14.7109375" bestFit="1" customWidth="1"/>
  </cols>
  <sheetData>
    <row r="1" spans="1:5">
      <c r="A1" t="s">
        <v>1726</v>
      </c>
      <c r="B1" t="s">
        <v>1738</v>
      </c>
      <c r="C1" t="s">
        <v>1739</v>
      </c>
      <c r="D1" t="s">
        <v>1752</v>
      </c>
      <c r="E1" t="s">
        <v>1765</v>
      </c>
    </row>
    <row r="2" spans="1:5">
      <c r="A2" t="s">
        <v>1727</v>
      </c>
      <c r="B2" t="s">
        <v>1740</v>
      </c>
      <c r="C2" t="s">
        <v>1744</v>
      </c>
      <c r="D2" t="s">
        <v>1753</v>
      </c>
      <c r="E2" t="s">
        <v>1766</v>
      </c>
    </row>
    <row r="3" spans="1:5">
      <c r="A3" t="s">
        <v>1728</v>
      </c>
      <c r="B3" t="s">
        <v>1517</v>
      </c>
      <c r="C3" t="s">
        <v>1745</v>
      </c>
      <c r="D3" t="s">
        <v>1754</v>
      </c>
      <c r="E3" t="s">
        <v>1767</v>
      </c>
    </row>
    <row r="4" spans="1:5">
      <c r="A4" t="s">
        <v>1729</v>
      </c>
      <c r="B4" t="s">
        <v>1741</v>
      </c>
      <c r="C4" t="s">
        <v>1746</v>
      </c>
      <c r="D4" t="s">
        <v>1755</v>
      </c>
      <c r="E4" t="s">
        <v>1768</v>
      </c>
    </row>
    <row r="5" spans="1:5">
      <c r="A5" t="s">
        <v>1730</v>
      </c>
      <c r="B5" t="s">
        <v>1742</v>
      </c>
      <c r="C5" t="s">
        <v>1747</v>
      </c>
      <c r="D5" t="s">
        <v>1756</v>
      </c>
      <c r="E5" t="s">
        <v>1769</v>
      </c>
    </row>
    <row r="6" spans="1:5">
      <c r="A6" t="s">
        <v>1731</v>
      </c>
      <c r="B6" t="s">
        <v>1743</v>
      </c>
      <c r="C6" t="s">
        <v>1748</v>
      </c>
      <c r="D6" t="s">
        <v>1757</v>
      </c>
      <c r="E6" t="s">
        <v>1770</v>
      </c>
    </row>
    <row r="7" spans="1:5">
      <c r="A7" t="s">
        <v>1732</v>
      </c>
      <c r="C7" t="s">
        <v>1749</v>
      </c>
      <c r="D7" t="s">
        <v>1758</v>
      </c>
      <c r="E7" t="s">
        <v>1771</v>
      </c>
    </row>
    <row r="8" spans="1:5">
      <c r="A8" t="s">
        <v>1733</v>
      </c>
      <c r="C8" t="s">
        <v>1750</v>
      </c>
      <c r="D8" t="s">
        <v>1759</v>
      </c>
      <c r="E8" t="s">
        <v>1772</v>
      </c>
    </row>
    <row r="9" spans="1:5">
      <c r="A9" t="s">
        <v>1734</v>
      </c>
      <c r="C9" t="s">
        <v>1751</v>
      </c>
      <c r="D9" t="s">
        <v>1760</v>
      </c>
      <c r="E9" t="s">
        <v>1773</v>
      </c>
    </row>
    <row r="10" spans="1:5">
      <c r="A10" t="s">
        <v>1735</v>
      </c>
      <c r="D10" t="s">
        <v>1761</v>
      </c>
      <c r="E10" t="s">
        <v>1774</v>
      </c>
    </row>
    <row r="11" spans="1:5">
      <c r="A11" t="s">
        <v>1541</v>
      </c>
      <c r="D11" t="s">
        <v>1762</v>
      </c>
      <c r="E11" t="s">
        <v>1775</v>
      </c>
    </row>
    <row r="12" spans="1:5">
      <c r="A12" t="s">
        <v>1736</v>
      </c>
      <c r="D12" t="s">
        <v>1763</v>
      </c>
      <c r="E12" t="s">
        <v>1776</v>
      </c>
    </row>
    <row r="13" spans="1:5">
      <c r="A13" t="s">
        <v>1737</v>
      </c>
      <c r="D13" t="s">
        <v>1764</v>
      </c>
      <c r="E13" t="s">
        <v>1777</v>
      </c>
    </row>
    <row r="14" spans="1:5">
      <c r="A14" t="s">
        <v>2052</v>
      </c>
      <c r="E14" t="s">
        <v>1778</v>
      </c>
    </row>
    <row r="15" spans="1:5">
      <c r="E15" t="s">
        <v>1779</v>
      </c>
    </row>
    <row r="16" spans="1:5">
      <c r="E16" t="s">
        <v>1780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V181"/>
  <sheetViews>
    <sheetView zoomScaleNormal="100" workbookViewId="0">
      <selection activeCell="H8" sqref="H8"/>
    </sheetView>
  </sheetViews>
  <sheetFormatPr defaultRowHeight="15"/>
  <cols>
    <col min="3" max="3" width="13.42578125" customWidth="1"/>
    <col min="5" max="5" width="21.85546875" customWidth="1"/>
    <col min="6" max="6" width="27.5703125" customWidth="1"/>
    <col min="7" max="23" width="21.85546875" customWidth="1"/>
  </cols>
  <sheetData>
    <row r="2" spans="3:22" ht="127.5" customHeight="1">
      <c r="C2" t="s">
        <v>2069</v>
      </c>
      <c r="D2" s="195" t="s">
        <v>1488</v>
      </c>
      <c r="E2" s="195" t="s">
        <v>2066</v>
      </c>
      <c r="F2" s="195" t="s">
        <v>2051</v>
      </c>
      <c r="G2" s="195" t="s">
        <v>2054</v>
      </c>
      <c r="H2" s="195" t="s">
        <v>1593</v>
      </c>
      <c r="I2" s="195" t="s">
        <v>2055</v>
      </c>
      <c r="J2" s="195" t="s">
        <v>2</v>
      </c>
      <c r="K2" s="195" t="s">
        <v>2056</v>
      </c>
      <c r="L2" s="195" t="s">
        <v>1595</v>
      </c>
      <c r="M2" s="195" t="s">
        <v>1630</v>
      </c>
      <c r="N2" s="195" t="s">
        <v>1631</v>
      </c>
      <c r="O2" s="195" t="s">
        <v>0</v>
      </c>
      <c r="P2" s="196" t="s">
        <v>1492</v>
      </c>
      <c r="Q2" s="196" t="s">
        <v>1664</v>
      </c>
      <c r="R2" s="195" t="s">
        <v>1491</v>
      </c>
      <c r="S2" s="196" t="s">
        <v>3</v>
      </c>
      <c r="T2" s="195" t="s">
        <v>4</v>
      </c>
      <c r="U2" s="197" t="s">
        <v>5</v>
      </c>
      <c r="V2" s="195" t="s">
        <v>6</v>
      </c>
    </row>
    <row r="3" spans="3:22">
      <c r="C3" s="47" t="s">
        <v>337</v>
      </c>
    </row>
    <row r="4" spans="3:22">
      <c r="C4" s="47" t="s">
        <v>335</v>
      </c>
    </row>
    <row r="5" spans="3:22">
      <c r="C5" s="47" t="s">
        <v>339</v>
      </c>
    </row>
    <row r="6" spans="3:22">
      <c r="C6" s="141" t="s">
        <v>340</v>
      </c>
    </row>
    <row r="7" spans="3:22">
      <c r="C7" s="47" t="s">
        <v>341</v>
      </c>
    </row>
    <row r="8" spans="3:22">
      <c r="C8" s="47" t="s">
        <v>344</v>
      </c>
    </row>
    <row r="9" spans="3:22">
      <c r="C9" s="47" t="s">
        <v>342</v>
      </c>
    </row>
    <row r="10" spans="3:22">
      <c r="C10" s="47" t="s">
        <v>369</v>
      </c>
    </row>
    <row r="11" spans="3:22">
      <c r="C11" s="47" t="s">
        <v>346</v>
      </c>
    </row>
    <row r="12" spans="3:22">
      <c r="C12" s="47" t="s">
        <v>348</v>
      </c>
    </row>
    <row r="13" spans="3:22">
      <c r="C13" s="47" t="s">
        <v>371</v>
      </c>
    </row>
    <row r="14" spans="3:22">
      <c r="C14" s="47" t="s">
        <v>350</v>
      </c>
    </row>
    <row r="15" spans="3:22">
      <c r="C15" s="47" t="s">
        <v>351</v>
      </c>
    </row>
    <row r="16" spans="3:22">
      <c r="C16" s="47" t="s">
        <v>352</v>
      </c>
    </row>
    <row r="17" spans="3:3">
      <c r="C17" s="47" t="s">
        <v>355</v>
      </c>
    </row>
    <row r="18" spans="3:3">
      <c r="C18" s="47" t="s">
        <v>353</v>
      </c>
    </row>
    <row r="19" spans="3:3">
      <c r="C19" s="47" t="s">
        <v>357</v>
      </c>
    </row>
    <row r="20" spans="3:3">
      <c r="C20" s="47" t="s">
        <v>359</v>
      </c>
    </row>
    <row r="21" spans="3:3">
      <c r="C21" s="47" t="s">
        <v>356</v>
      </c>
    </row>
    <row r="22" spans="3:3">
      <c r="C22" s="47" t="s">
        <v>360</v>
      </c>
    </row>
    <row r="23" spans="3:3">
      <c r="C23" s="47" t="s">
        <v>362</v>
      </c>
    </row>
    <row r="24" spans="3:3">
      <c r="C24" s="47" t="s">
        <v>364</v>
      </c>
    </row>
    <row r="25" spans="3:3">
      <c r="C25" s="47" t="s">
        <v>366</v>
      </c>
    </row>
    <row r="26" spans="3:3">
      <c r="C26" s="47" t="s">
        <v>367</v>
      </c>
    </row>
    <row r="27" spans="3:3">
      <c r="C27" s="47" t="s">
        <v>331</v>
      </c>
    </row>
    <row r="28" spans="3:3">
      <c r="C28" s="47" t="s">
        <v>333</v>
      </c>
    </row>
    <row r="29" spans="3:3">
      <c r="C29" s="47" t="s">
        <v>285</v>
      </c>
    </row>
    <row r="30" spans="3:3">
      <c r="C30" s="47" t="s">
        <v>283</v>
      </c>
    </row>
    <row r="31" spans="3:3">
      <c r="C31" s="47" t="s">
        <v>287</v>
      </c>
    </row>
    <row r="32" spans="3:3">
      <c r="C32" s="47" t="s">
        <v>289</v>
      </c>
    </row>
    <row r="33" spans="3:3">
      <c r="C33" s="47" t="s">
        <v>291</v>
      </c>
    </row>
    <row r="34" spans="3:3">
      <c r="C34" s="47" t="s">
        <v>299</v>
      </c>
    </row>
    <row r="35" spans="3:3">
      <c r="C35" s="47" t="s">
        <v>307</v>
      </c>
    </row>
    <row r="36" spans="3:3">
      <c r="C36" s="47" t="s">
        <v>303</v>
      </c>
    </row>
    <row r="37" spans="3:3">
      <c r="C37" s="47" t="s">
        <v>305</v>
      </c>
    </row>
    <row r="38" spans="3:3">
      <c r="C38" s="47" t="s">
        <v>301</v>
      </c>
    </row>
    <row r="39" spans="3:3">
      <c r="C39" s="47" t="s">
        <v>295</v>
      </c>
    </row>
    <row r="40" spans="3:3">
      <c r="C40" s="47" t="s">
        <v>297</v>
      </c>
    </row>
    <row r="41" spans="3:3">
      <c r="C41" s="47" t="s">
        <v>293</v>
      </c>
    </row>
    <row r="42" spans="3:3">
      <c r="C42" s="47" t="s">
        <v>309</v>
      </c>
    </row>
    <row r="43" spans="3:3">
      <c r="C43" s="47" t="s">
        <v>311</v>
      </c>
    </row>
    <row r="44" spans="3:3">
      <c r="C44" s="47" t="s">
        <v>313</v>
      </c>
    </row>
    <row r="45" spans="3:3">
      <c r="C45" s="47" t="s">
        <v>315</v>
      </c>
    </row>
    <row r="46" spans="3:3">
      <c r="C46" s="47" t="s">
        <v>317</v>
      </c>
    </row>
    <row r="47" spans="3:3">
      <c r="C47" s="47" t="s">
        <v>319</v>
      </c>
    </row>
    <row r="48" spans="3:3">
      <c r="C48" s="47" t="s">
        <v>321</v>
      </c>
    </row>
    <row r="49" spans="3:3">
      <c r="C49" s="47" t="s">
        <v>323</v>
      </c>
    </row>
    <row r="50" spans="3:3">
      <c r="C50" s="47" t="s">
        <v>325</v>
      </c>
    </row>
    <row r="51" spans="3:3">
      <c r="C51" s="47" t="s">
        <v>327</v>
      </c>
    </row>
    <row r="52" spans="3:3">
      <c r="C52" s="47" t="s">
        <v>329</v>
      </c>
    </row>
    <row r="53" spans="3:3">
      <c r="C53" s="142" t="s">
        <v>383</v>
      </c>
    </row>
    <row r="54" spans="3:3">
      <c r="C54" s="142" t="s">
        <v>381</v>
      </c>
    </row>
    <row r="55" spans="3:3">
      <c r="C55" s="142" t="s">
        <v>385</v>
      </c>
    </row>
    <row r="56" spans="3:3">
      <c r="C56" s="142" t="s">
        <v>387</v>
      </c>
    </row>
    <row r="57" spans="3:3">
      <c r="C57" s="142" t="s">
        <v>389</v>
      </c>
    </row>
    <row r="58" spans="3:3">
      <c r="C58" s="142" t="s">
        <v>393</v>
      </c>
    </row>
    <row r="59" spans="3:3">
      <c r="C59" s="142" t="s">
        <v>391</v>
      </c>
    </row>
    <row r="60" spans="3:3">
      <c r="C60" s="142" t="s">
        <v>10</v>
      </c>
    </row>
    <row r="61" spans="3:3">
      <c r="C61" s="142" t="s">
        <v>396</v>
      </c>
    </row>
    <row r="62" spans="3:3">
      <c r="C62" s="142" t="s">
        <v>398</v>
      </c>
    </row>
    <row r="63" spans="3:3">
      <c r="C63" s="142" t="s">
        <v>400</v>
      </c>
    </row>
    <row r="64" spans="3:3">
      <c r="C64" s="47" t="s">
        <v>373</v>
      </c>
    </row>
    <row r="65" spans="3:3">
      <c r="C65" s="47" t="s">
        <v>375</v>
      </c>
    </row>
    <row r="66" spans="3:3">
      <c r="C66" s="47" t="s">
        <v>377</v>
      </c>
    </row>
    <row r="67" spans="3:3">
      <c r="C67" s="47" t="s">
        <v>379</v>
      </c>
    </row>
    <row r="68" spans="3:3">
      <c r="C68" s="142" t="s">
        <v>402</v>
      </c>
    </row>
    <row r="69" spans="3:3">
      <c r="C69" s="142" t="s">
        <v>404</v>
      </c>
    </row>
    <row r="70" spans="3:3">
      <c r="C70" s="47" t="s">
        <v>1395</v>
      </c>
    </row>
    <row r="71" spans="3:3">
      <c r="C71" s="47" t="s">
        <v>1397</v>
      </c>
    </row>
    <row r="72" spans="3:3">
      <c r="C72" s="47" t="s">
        <v>1399</v>
      </c>
    </row>
    <row r="73" spans="3:3">
      <c r="C73" s="47" t="s">
        <v>1401</v>
      </c>
    </row>
    <row r="74" spans="3:3">
      <c r="C74" s="47" t="s">
        <v>1403</v>
      </c>
    </row>
    <row r="75" spans="3:3">
      <c r="C75" s="47" t="s">
        <v>1405</v>
      </c>
    </row>
    <row r="76" spans="3:3">
      <c r="C76" s="47" t="s">
        <v>1407</v>
      </c>
    </row>
    <row r="77" spans="3:3">
      <c r="C77" s="47" t="s">
        <v>1409</v>
      </c>
    </row>
    <row r="78" spans="3:3">
      <c r="C78" s="47" t="s">
        <v>1411</v>
      </c>
    </row>
    <row r="79" spans="3:3">
      <c r="C79" s="47" t="s">
        <v>1413</v>
      </c>
    </row>
    <row r="80" spans="3:3">
      <c r="C80" s="47" t="s">
        <v>1415</v>
      </c>
    </row>
    <row r="81" spans="3:3">
      <c r="C81" s="47" t="s">
        <v>1417</v>
      </c>
    </row>
    <row r="82" spans="3:3">
      <c r="C82" s="47" t="s">
        <v>1419</v>
      </c>
    </row>
    <row r="83" spans="3:3">
      <c r="C83" s="47" t="s">
        <v>1421</v>
      </c>
    </row>
    <row r="84" spans="3:3">
      <c r="C84" s="47" t="s">
        <v>1423</v>
      </c>
    </row>
    <row r="85" spans="3:3">
      <c r="C85" s="47" t="s">
        <v>1425</v>
      </c>
    </row>
    <row r="86" spans="3:3">
      <c r="C86" s="47" t="s">
        <v>1427</v>
      </c>
    </row>
    <row r="87" spans="3:3">
      <c r="C87" s="47" t="s">
        <v>1429</v>
      </c>
    </row>
    <row r="88" spans="3:3">
      <c r="C88" s="47" t="s">
        <v>1431</v>
      </c>
    </row>
    <row r="89" spans="3:3">
      <c r="C89" s="47" t="s">
        <v>1433</v>
      </c>
    </row>
    <row r="90" spans="3:3">
      <c r="C90" s="47" t="s">
        <v>1435</v>
      </c>
    </row>
    <row r="91" spans="3:3">
      <c r="C91" s="47" t="s">
        <v>1437</v>
      </c>
    </row>
    <row r="92" spans="3:3">
      <c r="C92" s="47" t="s">
        <v>1439</v>
      </c>
    </row>
    <row r="93" spans="3:3">
      <c r="C93" s="47" t="s">
        <v>1441</v>
      </c>
    </row>
    <row r="94" spans="3:3">
      <c r="C94" s="47" t="s">
        <v>1443</v>
      </c>
    </row>
    <row r="95" spans="3:3">
      <c r="C95" s="47" t="s">
        <v>1445</v>
      </c>
    </row>
    <row r="96" spans="3:3">
      <c r="C96" s="47" t="s">
        <v>1447</v>
      </c>
    </row>
    <row r="97" spans="3:3">
      <c r="C97" s="141" t="s">
        <v>1449</v>
      </c>
    </row>
    <row r="98" spans="3:3">
      <c r="C98" s="141" t="s">
        <v>1451</v>
      </c>
    </row>
    <row r="99" spans="3:3">
      <c r="C99" s="141" t="s">
        <v>1453</v>
      </c>
    </row>
    <row r="100" spans="3:3">
      <c r="C100" s="141" t="s">
        <v>1455</v>
      </c>
    </row>
    <row r="101" spans="3:3">
      <c r="C101" s="47" t="s">
        <v>1457</v>
      </c>
    </row>
    <row r="102" spans="3:3">
      <c r="C102" s="141" t="s">
        <v>1459</v>
      </c>
    </row>
    <row r="103" spans="3:3">
      <c r="C103" s="141" t="s">
        <v>1461</v>
      </c>
    </row>
    <row r="104" spans="3:3">
      <c r="C104" s="141" t="s">
        <v>1463</v>
      </c>
    </row>
    <row r="105" spans="3:3">
      <c r="C105" s="141" t="s">
        <v>1465</v>
      </c>
    </row>
    <row r="106" spans="3:3">
      <c r="C106" s="141" t="s">
        <v>1467</v>
      </c>
    </row>
    <row r="107" spans="3:3" ht="15.75" thickBot="1">
      <c r="C107" s="199" t="s">
        <v>1469</v>
      </c>
    </row>
    <row r="108" spans="3:3">
      <c r="C108" s="200" t="s">
        <v>1471</v>
      </c>
    </row>
    <row r="109" spans="3:3">
      <c r="C109" s="47" t="s">
        <v>1473</v>
      </c>
    </row>
    <row r="110" spans="3:3" ht="15.75" thickBot="1">
      <c r="C110" s="201" t="s">
        <v>1475</v>
      </c>
    </row>
    <row r="111" spans="3:3">
      <c r="C111" s="202" t="s">
        <v>1477</v>
      </c>
    </row>
    <row r="112" spans="3:3" ht="15.75" thickBot="1">
      <c r="C112" s="203" t="s">
        <v>1481</v>
      </c>
    </row>
    <row r="113" spans="3:3">
      <c r="C113" s="47" t="s">
        <v>1253</v>
      </c>
    </row>
    <row r="114" spans="3:3">
      <c r="C114" s="47" t="s">
        <v>1255</v>
      </c>
    </row>
    <row r="115" spans="3:3">
      <c r="C115" s="47" t="s">
        <v>1259</v>
      </c>
    </row>
    <row r="116" spans="3:3">
      <c r="C116" s="47" t="s">
        <v>1261</v>
      </c>
    </row>
    <row r="117" spans="3:3">
      <c r="C117" s="47" t="s">
        <v>1263</v>
      </c>
    </row>
    <row r="118" spans="3:3">
      <c r="C118" s="47" t="s">
        <v>1265</v>
      </c>
    </row>
    <row r="119" spans="3:3">
      <c r="C119" s="47" t="s">
        <v>1267</v>
      </c>
    </row>
    <row r="120" spans="3:3">
      <c r="C120" s="47" t="s">
        <v>1269</v>
      </c>
    </row>
    <row r="121" spans="3:3">
      <c r="C121" s="47" t="s">
        <v>1271</v>
      </c>
    </row>
    <row r="122" spans="3:3">
      <c r="C122" s="47" t="s">
        <v>1273</v>
      </c>
    </row>
    <row r="123" spans="3:3">
      <c r="C123" s="47" t="s">
        <v>1275</v>
      </c>
    </row>
    <row r="124" spans="3:3">
      <c r="C124" s="47" t="s">
        <v>1257</v>
      </c>
    </row>
    <row r="125" spans="3:3">
      <c r="C125" s="47" t="s">
        <v>1277</v>
      </c>
    </row>
    <row r="126" spans="3:3">
      <c r="C126" s="47" t="s">
        <v>1279</v>
      </c>
    </row>
    <row r="127" spans="3:3">
      <c r="C127" s="47" t="s">
        <v>1281</v>
      </c>
    </row>
    <row r="128" spans="3:3">
      <c r="C128" s="47" t="s">
        <v>1283</v>
      </c>
    </row>
    <row r="129" spans="3:3">
      <c r="C129" s="47" t="s">
        <v>1285</v>
      </c>
    </row>
    <row r="130" spans="3:3">
      <c r="C130" s="47" t="s">
        <v>1287</v>
      </c>
    </row>
    <row r="131" spans="3:3">
      <c r="C131" s="47" t="s">
        <v>1289</v>
      </c>
    </row>
    <row r="132" spans="3:3">
      <c r="C132" s="47" t="s">
        <v>1291</v>
      </c>
    </row>
    <row r="133" spans="3:3">
      <c r="C133" s="47" t="s">
        <v>1293</v>
      </c>
    </row>
    <row r="134" spans="3:3">
      <c r="C134" s="47" t="s">
        <v>1295</v>
      </c>
    </row>
    <row r="135" spans="3:3">
      <c r="C135" s="47" t="s">
        <v>1297</v>
      </c>
    </row>
    <row r="136" spans="3:3">
      <c r="C136" s="47" t="s">
        <v>1299</v>
      </c>
    </row>
    <row r="137" spans="3:3">
      <c r="C137" s="47" t="s">
        <v>1301</v>
      </c>
    </row>
    <row r="138" spans="3:3">
      <c r="C138" s="47" t="s">
        <v>1303</v>
      </c>
    </row>
    <row r="139" spans="3:3">
      <c r="C139" s="47" t="s">
        <v>1305</v>
      </c>
    </row>
    <row r="140" spans="3:3">
      <c r="C140" s="47" t="s">
        <v>1307</v>
      </c>
    </row>
    <row r="141" spans="3:3">
      <c r="C141" s="47" t="s">
        <v>1309</v>
      </c>
    </row>
    <row r="142" spans="3:3">
      <c r="C142" s="47" t="s">
        <v>1311</v>
      </c>
    </row>
    <row r="143" spans="3:3">
      <c r="C143" s="47" t="s">
        <v>1313</v>
      </c>
    </row>
    <row r="144" spans="3:3">
      <c r="C144" s="47" t="s">
        <v>1315</v>
      </c>
    </row>
    <row r="145" spans="3:3">
      <c r="C145" s="47" t="s">
        <v>1317</v>
      </c>
    </row>
    <row r="146" spans="3:3">
      <c r="C146" s="47" t="s">
        <v>1319</v>
      </c>
    </row>
    <row r="147" spans="3:3">
      <c r="C147" s="47" t="s">
        <v>1321</v>
      </c>
    </row>
    <row r="148" spans="3:3">
      <c r="C148" s="47" t="s">
        <v>1323</v>
      </c>
    </row>
    <row r="149" spans="3:3">
      <c r="C149" s="47" t="s">
        <v>1325</v>
      </c>
    </row>
    <row r="150" spans="3:3">
      <c r="C150" s="47" t="s">
        <v>1327</v>
      </c>
    </row>
    <row r="151" spans="3:3">
      <c r="C151" s="47" t="s">
        <v>1329</v>
      </c>
    </row>
    <row r="152" spans="3:3">
      <c r="C152" s="47" t="s">
        <v>1331</v>
      </c>
    </row>
    <row r="153" spans="3:3">
      <c r="C153" s="47" t="s">
        <v>1333</v>
      </c>
    </row>
    <row r="154" spans="3:3">
      <c r="C154" s="47" t="s">
        <v>1335</v>
      </c>
    </row>
    <row r="155" spans="3:3">
      <c r="C155" s="47" t="s">
        <v>1337</v>
      </c>
    </row>
    <row r="156" spans="3:3">
      <c r="C156" s="204" t="s">
        <v>432</v>
      </c>
    </row>
    <row r="157" spans="3:3" ht="24">
      <c r="C157" s="204" t="s">
        <v>434</v>
      </c>
    </row>
    <row r="158" spans="3:3">
      <c r="C158" s="204" t="s">
        <v>436</v>
      </c>
    </row>
    <row r="159" spans="3:3">
      <c r="C159" s="47" t="s">
        <v>1339</v>
      </c>
    </row>
    <row r="160" spans="3:3">
      <c r="C160" s="47" t="s">
        <v>1341</v>
      </c>
    </row>
    <row r="161" spans="3:3">
      <c r="C161" s="47" t="s">
        <v>1343</v>
      </c>
    </row>
    <row r="162" spans="3:3">
      <c r="C162" s="47" t="s">
        <v>1345</v>
      </c>
    </row>
    <row r="163" spans="3:3">
      <c r="C163" s="47" t="s">
        <v>1347</v>
      </c>
    </row>
    <row r="164" spans="3:3">
      <c r="C164" s="47" t="s">
        <v>1349</v>
      </c>
    </row>
    <row r="165" spans="3:3">
      <c r="C165" s="47" t="s">
        <v>1351</v>
      </c>
    </row>
    <row r="166" spans="3:3">
      <c r="C166" s="47" t="s">
        <v>1353</v>
      </c>
    </row>
    <row r="167" spans="3:3">
      <c r="C167" s="204" t="s">
        <v>438</v>
      </c>
    </row>
    <row r="168" spans="3:3">
      <c r="C168" s="47" t="s">
        <v>1355</v>
      </c>
    </row>
    <row r="169" spans="3:3">
      <c r="C169" s="47" t="s">
        <v>1357</v>
      </c>
    </row>
    <row r="170" spans="3:3">
      <c r="C170" s="47" t="s">
        <v>1359</v>
      </c>
    </row>
    <row r="171" spans="3:3">
      <c r="C171" s="47" t="s">
        <v>1361</v>
      </c>
    </row>
    <row r="172" spans="3:3">
      <c r="C172" s="47" t="s">
        <v>1363</v>
      </c>
    </row>
    <row r="173" spans="3:3">
      <c r="C173" s="47" t="s">
        <v>1365</v>
      </c>
    </row>
    <row r="174" spans="3:3">
      <c r="C174" s="47" t="s">
        <v>1367</v>
      </c>
    </row>
    <row r="175" spans="3:3">
      <c r="C175" s="47" t="s">
        <v>1369</v>
      </c>
    </row>
    <row r="176" spans="3:3">
      <c r="C176" s="47" t="s">
        <v>1371</v>
      </c>
    </row>
    <row r="177" spans="3:3">
      <c r="C177" s="47" t="s">
        <v>1373</v>
      </c>
    </row>
    <row r="178" spans="3:3">
      <c r="C178" s="47" t="s">
        <v>1375</v>
      </c>
    </row>
    <row r="179" spans="3:3">
      <c r="C179" s="47" t="s">
        <v>1377</v>
      </c>
    </row>
    <row r="180" spans="3:3">
      <c r="C180" s="47" t="s">
        <v>1379</v>
      </c>
    </row>
    <row r="181" spans="3:3">
      <c r="C181" s="47" t="s">
        <v>1381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28"/>
  <sheetViews>
    <sheetView workbookViewId="0">
      <selection activeCell="A38" sqref="A38"/>
    </sheetView>
  </sheetViews>
  <sheetFormatPr defaultRowHeight="15"/>
  <cols>
    <col min="1" max="1" width="45.140625" customWidth="1"/>
    <col min="2" max="2" width="22.28515625" customWidth="1"/>
    <col min="3" max="3" width="24.42578125" customWidth="1"/>
    <col min="4" max="7" width="13.28515625" customWidth="1"/>
    <col min="8" max="8" width="37.42578125" bestFit="1" customWidth="1"/>
    <col min="9" max="10" width="25" bestFit="1" customWidth="1"/>
  </cols>
  <sheetData>
    <row r="1" spans="1:12" ht="15.75">
      <c r="A1" s="188" t="s">
        <v>1950</v>
      </c>
      <c r="D1" s="177" t="s">
        <v>1948</v>
      </c>
      <c r="E1" s="177" t="s">
        <v>1947</v>
      </c>
      <c r="F1" s="177" t="s">
        <v>1949</v>
      </c>
    </row>
    <row r="2" spans="1:12">
      <c r="A2" t="s">
        <v>1951</v>
      </c>
      <c r="D2" s="182">
        <v>218</v>
      </c>
      <c r="E2" s="182">
        <v>84</v>
      </c>
      <c r="F2" s="182">
        <v>24</v>
      </c>
      <c r="I2" t="str">
        <f>E11</f>
        <v/>
      </c>
      <c r="L2" s="185"/>
    </row>
    <row r="3" spans="1:12">
      <c r="A3" t="s">
        <v>2049</v>
      </c>
      <c r="D3" s="183"/>
      <c r="E3" s="184"/>
      <c r="F3" s="184"/>
    </row>
    <row r="4" spans="1:12">
      <c r="A4" s="657" t="s">
        <v>2050</v>
      </c>
      <c r="B4" s="657" t="s">
        <v>2026</v>
      </c>
      <c r="C4" s="657" t="s">
        <v>2027</v>
      </c>
      <c r="D4" s="593" t="s">
        <v>1952</v>
      </c>
      <c r="E4" s="594"/>
      <c r="F4" s="595"/>
      <c r="H4" s="557" t="s">
        <v>1953</v>
      </c>
      <c r="I4" s="557"/>
      <c r="J4" s="557"/>
    </row>
    <row r="5" spans="1:12" ht="15.75">
      <c r="A5" s="658"/>
      <c r="B5" s="658"/>
      <c r="C5" s="658"/>
      <c r="D5" s="190" t="s">
        <v>1948</v>
      </c>
      <c r="E5" s="191" t="s">
        <v>1947</v>
      </c>
      <c r="F5" s="192" t="s">
        <v>1949</v>
      </c>
      <c r="G5" s="193" t="s">
        <v>2028</v>
      </c>
      <c r="H5" s="177" t="s">
        <v>1948</v>
      </c>
      <c r="I5" s="177" t="s">
        <v>1947</v>
      </c>
      <c r="J5" s="177" t="s">
        <v>1949</v>
      </c>
      <c r="L5" s="185"/>
    </row>
    <row r="6" spans="1:12">
      <c r="A6" t="s">
        <v>2006</v>
      </c>
      <c r="B6" t="s">
        <v>1391</v>
      </c>
      <c r="C6" t="str">
        <f>IF(ISERROR(VLOOKUP(B6,'Lists of Products and Options'!MX:NC,2,FALSE)),"",VLOOKUP(B6,'Lists of Products and Options'!MX:NC,2,FALSE))</f>
        <v>Sink Base Cabinet</v>
      </c>
      <c r="D6">
        <f>IF(ISERROR(VALUE(VLOOKUP($B6,'Lists of Products and Options'!$MX:$NC,4,FALSE))),"",VALUE(VLOOKUP($B6,'Lists of Products and Options'!$MX:$NC,4,FALSE)))</f>
        <v>28</v>
      </c>
      <c r="E6">
        <f>IF(ISERROR(VALUE(VLOOKUP($B6,'Lists of Products and Options'!$MX:$NC,5,FALSE))),"",VALUE(VLOOKUP($B6,'Lists of Products and Options'!$MX:$NC,5,FALSE)))</f>
        <v>34</v>
      </c>
      <c r="F6">
        <f>IF(ISERROR(VALUE(VLOOKUP($B6,'Lists of Products and Options'!$MX:$NC,6,FALSE))),"",VALUE(VLOOKUP($B6,'Lists of Products and Options'!$MX:$NC,6,FALSE)))</f>
        <v>24</v>
      </c>
      <c r="G6" s="194">
        <f>IF(ISERROR(VLOOKUP(B6,'Lists of Products and Options'!MX:NC,3,FALSE)),"",VLOOKUP(B6,'Lists of Products and Options'!MX:NC,3,FALSE))</f>
        <v>1370</v>
      </c>
      <c r="H6" t="str">
        <f>IF(ISERROR(IF(VALUE($D$2-D6)&lt;0,"Error","Conforms")),"",IF(VALUE($D$2-D6)&lt;0,"Error","Conforms"))</f>
        <v>Conforms</v>
      </c>
      <c r="I6" t="str">
        <f>IF(ISNUMBER(E6),IF(E6&gt;$E$2,"Too Tall","Conforms"),"")</f>
        <v>Conforms</v>
      </c>
      <c r="J6" t="str">
        <f>IF(ISNUMBER(F6),IF(F6&gt;$F$2,"Too Deep","Conforms"),"")</f>
        <v>Conforms</v>
      </c>
    </row>
    <row r="7" spans="1:12">
      <c r="A7" t="s">
        <v>2007</v>
      </c>
      <c r="B7" t="s">
        <v>1377</v>
      </c>
      <c r="C7" t="str">
        <f>IF(ISERROR(VLOOKUP(B7,'Lists of Products and Options'!MX:NC,2,FALSE)),"",VLOOKUP(B7,'Lists of Products and Options'!MX:NC,2,FALSE))</f>
        <v>Blind Corner Wall Cabinet</v>
      </c>
      <c r="D7">
        <f>IF(ISERROR(VALUE(VLOOKUP($B7,'Lists of Products and Options'!$MX:$NC,4,FALSE))),"",VALUE(VLOOKUP($B7,'Lists of Products and Options'!$MX:$NC,4,FALSE)))</f>
        <v>36</v>
      </c>
      <c r="E7">
        <f>IF(ISERROR(VALUE(VLOOKUP($B7,'Lists of Products and Options'!$MX:$NC,5,FALSE))),"",VALUE(VLOOKUP($B7,'Lists of Products and Options'!$MX:$NC,5,FALSE)))</f>
        <v>24</v>
      </c>
      <c r="F7">
        <f>IF(ISERROR(VALUE(VLOOKUP($B7,'Lists of Products and Options'!$MX:$NC,6,FALSE))),"",VALUE(VLOOKUP($B7,'Lists of Products and Options'!$MX:$NC,6,FALSE)))</f>
        <v>14</v>
      </c>
      <c r="G7" s="194">
        <f>IF(ISERROR(VLOOKUP(B7,'Lists of Products and Options'!MX:NC,3,FALSE)),"",VLOOKUP(B7,'Lists of Products and Options'!MX:NC,3,FALSE))</f>
        <v>742</v>
      </c>
      <c r="H7" t="str">
        <f t="shared" ref="H7:H25" si="0">IF(ISERROR(IF(VALUE($D$2-D7)&lt;0,"Error","Conforms")),"",IF(VALUE($D$2-D7)&lt;0,"Error","Conforms"))</f>
        <v>Conforms</v>
      </c>
      <c r="I7" t="str">
        <f>IF(ISNUMBER(E7),IF(E7&gt;$E$2,"Too Tall","Conforms"),"")</f>
        <v>Conforms</v>
      </c>
      <c r="J7" t="str">
        <f>IF(ISNUMBER(F7),IF(F7&gt;$F$2,"Too Deep","Conforms"),"")</f>
        <v>Conforms</v>
      </c>
    </row>
    <row r="8" spans="1:12">
      <c r="A8" t="s">
        <v>2008</v>
      </c>
      <c r="B8" t="s">
        <v>1357</v>
      </c>
      <c r="C8" t="str">
        <f>IF(ISERROR(VLOOKUP(B8,'Lists of Products and Options'!MX:NC,2,FALSE)),"",VLOOKUP(B8,'Lists of Products and Options'!MX:NC,2,FALSE))</f>
        <v>Blind Corner Base</v>
      </c>
      <c r="D8">
        <f>IF(ISERROR(VALUE(VLOOKUP($B8,'Lists of Products and Options'!$MX:$NC,4,FALSE))),"",VALUE(VLOOKUP($B8,'Lists of Products and Options'!$MX:$NC,4,FALSE)))</f>
        <v>39</v>
      </c>
      <c r="E8">
        <f>IF(ISERROR(VALUE(VLOOKUP($B8,'Lists of Products and Options'!$MX:$NC,5,FALSE))),"",VALUE(VLOOKUP($B8,'Lists of Products and Options'!$MX:$NC,5,FALSE)))</f>
        <v>34</v>
      </c>
      <c r="F8">
        <f>IF(ISERROR(VALUE(VLOOKUP($B8,'Lists of Products and Options'!$MX:$NC,6,FALSE))),"",VALUE(VLOOKUP($B8,'Lists of Products and Options'!$MX:$NC,6,FALSE)))</f>
        <v>24</v>
      </c>
      <c r="G8" s="194">
        <f>IF(ISERROR(VLOOKUP(B8,'Lists of Products and Options'!MX:NC,3,FALSE)),"",VLOOKUP(B8,'Lists of Products and Options'!MX:NC,3,FALSE))</f>
        <v>1180</v>
      </c>
      <c r="H8" t="str">
        <f t="shared" si="0"/>
        <v>Conforms</v>
      </c>
      <c r="I8" t="str">
        <f t="shared" ref="I8:I25" si="1">IF(ISNUMBER(E8),IF(E8&gt;$E$2,"Too Tall","Conforms"),"")</f>
        <v>Conforms</v>
      </c>
      <c r="J8" t="str">
        <f>IF(ISNUMBER(F8),IF(F8&gt;$F$2,"Too Deep","Conforms"),"")</f>
        <v>Conforms</v>
      </c>
    </row>
    <row r="9" spans="1:12">
      <c r="A9" t="s">
        <v>2009</v>
      </c>
      <c r="B9" t="s">
        <v>1417</v>
      </c>
      <c r="C9" t="str">
        <f>IF(ISERROR(VLOOKUP(B9,'Lists of Products and Options'!MX:NC,2,FALSE)),"",VLOOKUP(B9,'Lists of Products and Options'!MX:NC,2,FALSE))</f>
        <v>Tall Tower Storage Cabinet</v>
      </c>
      <c r="D9">
        <f>IF(ISERROR(VALUE(VLOOKUP($B9,'Lists of Products and Options'!$MX:$NC,4,FALSE))),"",VALUE(VLOOKUP($B9,'Lists of Products and Options'!$MX:$NC,4,FALSE)))</f>
        <v>16</v>
      </c>
      <c r="E9">
        <f>IF(ISERROR(VALUE(VLOOKUP($B9,'Lists of Products and Options'!$MX:$NC,5,FALSE))),"",VALUE(VLOOKUP($B9,'Lists of Products and Options'!$MX:$NC,5,FALSE)))</f>
        <v>84</v>
      </c>
      <c r="F9">
        <f>IF(ISERROR(VALUE(VLOOKUP($B9,'Lists of Products and Options'!$MX:$NC,6,FALSE))),"",VALUE(VLOOKUP($B9,'Lists of Products and Options'!$MX:$NC,6,FALSE)))</f>
        <v>24</v>
      </c>
      <c r="G9" s="194">
        <f>IF(ISERROR(VLOOKUP(B9,'Lists of Products and Options'!MX:NC,3,FALSE)),"",VLOOKUP(B9,'Lists of Products and Options'!MX:NC,3,FALSE))</f>
        <v>4435</v>
      </c>
      <c r="H9" t="str">
        <f t="shared" si="0"/>
        <v>Conforms</v>
      </c>
      <c r="I9" t="str">
        <f t="shared" si="1"/>
        <v>Conforms</v>
      </c>
      <c r="J9" t="str">
        <f t="shared" ref="J9:J25" si="2">IF(ISNUMBER(F9),IF(F9&gt;$F$2,"Too Deep","Conforms"),"")</f>
        <v>Conforms</v>
      </c>
    </row>
    <row r="10" spans="1:12">
      <c r="A10" t="s">
        <v>2010</v>
      </c>
      <c r="B10" t="s">
        <v>1355</v>
      </c>
      <c r="C10" t="str">
        <f>IF(ISERROR(VLOOKUP(B10,'Lists of Products and Options'!MX:NC,2,FALSE)),"",VLOOKUP(B10,'Lists of Products and Options'!MX:NC,2,FALSE))</f>
        <v>Blind Corner Base</v>
      </c>
      <c r="D10">
        <f>IF(ISERROR(VALUE(VLOOKUP($B10,'Lists of Products and Options'!$MX:$NC,4,FALSE))),"",VALUE(VLOOKUP($B10,'Lists of Products and Options'!$MX:$NC,4,FALSE)))</f>
        <v>39</v>
      </c>
      <c r="E10">
        <f>IF(ISERROR(VALUE(VLOOKUP($B10,'Lists of Products and Options'!$MX:$NC,5,FALSE))),"",VALUE(VLOOKUP($B10,'Lists of Products and Options'!$MX:$NC,5,FALSE)))</f>
        <v>34</v>
      </c>
      <c r="F10">
        <f>IF(ISERROR(VALUE(VLOOKUP($B10,'Lists of Products and Options'!$MX:$NC,6,FALSE))),"",VALUE(VLOOKUP($B10,'Lists of Products and Options'!$MX:$NC,6,FALSE)))</f>
        <v>24</v>
      </c>
      <c r="G10" s="194">
        <f>IF(ISERROR(VLOOKUP(B10,'Lists of Products and Options'!MX:NC,3,FALSE)),"",VLOOKUP(B10,'Lists of Products and Options'!MX:NC,3,FALSE))</f>
        <v>1180</v>
      </c>
      <c r="H10" t="str">
        <f t="shared" si="0"/>
        <v>Conforms</v>
      </c>
      <c r="I10" t="str">
        <f t="shared" si="1"/>
        <v>Conforms</v>
      </c>
      <c r="J10" t="str">
        <f t="shared" si="2"/>
        <v>Conforms</v>
      </c>
    </row>
    <row r="11" spans="1:12">
      <c r="A11" t="s">
        <v>2011</v>
      </c>
      <c r="C11" t="str">
        <f>IF(ISERROR(VLOOKUP(B11,'Lists of Products and Options'!MX:NC,2,FALSE)),"",VLOOKUP(B11,'Lists of Products and Options'!MX:NC,2,FALSE))</f>
        <v/>
      </c>
      <c r="D11" t="str">
        <f>IF(ISERROR(VALUE(VLOOKUP($B11,'Lists of Products and Options'!$MX:$NC,4,FALSE))),"",VALUE(VLOOKUP($B11,'Lists of Products and Options'!$MX:$NC,4,FALSE)))</f>
        <v/>
      </c>
      <c r="E11" t="str">
        <f>IF(ISERROR(VALUE(VLOOKUP($B11,'Lists of Products and Options'!$MX:$NC,5,FALSE))),"",VALUE(VLOOKUP($B11,'Lists of Products and Options'!$MX:$NC,5,FALSE)))</f>
        <v/>
      </c>
      <c r="F11" t="str">
        <f>IF(ISERROR(VALUE(VLOOKUP($B11,'Lists of Products and Options'!$MX:$NC,6,FALSE))),"",VALUE(VLOOKUP($B11,'Lists of Products and Options'!$MX:$NC,6,FALSE)))</f>
        <v/>
      </c>
      <c r="G11" s="194" t="str">
        <f>IF(ISERROR(VLOOKUP(B11,'Lists of Products and Options'!MX:NC,3,FALSE)),"",VLOOKUP(B11,'Lists of Products and Options'!MX:NC,3,FALSE))</f>
        <v/>
      </c>
      <c r="H11" t="str">
        <f t="shared" si="0"/>
        <v/>
      </c>
      <c r="I11" t="str">
        <f t="shared" si="1"/>
        <v/>
      </c>
      <c r="J11" t="str">
        <f t="shared" si="2"/>
        <v/>
      </c>
    </row>
    <row r="12" spans="1:12">
      <c r="A12" t="s">
        <v>2012</v>
      </c>
      <c r="C12" t="str">
        <f>IF(ISERROR(VLOOKUP(B12,'Lists of Products and Options'!MX:NC,2,FALSE)),"",VLOOKUP(B12,'Lists of Products and Options'!MX:NC,2,FALSE))</f>
        <v/>
      </c>
      <c r="D12" t="str">
        <f>IF(ISERROR(VALUE(VLOOKUP($B12,'Lists of Products and Options'!$MX:$NC,4,FALSE))),"",VALUE(VLOOKUP($B12,'Lists of Products and Options'!$MX:$NC,4,FALSE)))</f>
        <v/>
      </c>
      <c r="E12" t="str">
        <f>IF(ISERROR(VALUE(VLOOKUP($B12,'Lists of Products and Options'!$MX:$NC,5,FALSE))),"",VALUE(VLOOKUP($B12,'Lists of Products and Options'!$MX:$NC,5,FALSE)))</f>
        <v/>
      </c>
      <c r="F12" t="str">
        <f>IF(ISERROR(VALUE(VLOOKUP($B12,'Lists of Products and Options'!$MX:$NC,6,FALSE))),"",VALUE(VLOOKUP($B12,'Lists of Products and Options'!$MX:$NC,6,FALSE)))</f>
        <v/>
      </c>
      <c r="G12" s="194" t="str">
        <f>IF(ISERROR(VLOOKUP(B12,'Lists of Products and Options'!MX:NC,3,FALSE)),"",VLOOKUP(B12,'Lists of Products and Options'!MX:NC,3,FALSE))</f>
        <v/>
      </c>
      <c r="H12" t="str">
        <f t="shared" si="0"/>
        <v/>
      </c>
      <c r="I12" t="str">
        <f t="shared" si="1"/>
        <v/>
      </c>
      <c r="J12" t="str">
        <f t="shared" si="2"/>
        <v/>
      </c>
    </row>
    <row r="13" spans="1:12">
      <c r="A13" t="s">
        <v>2013</v>
      </c>
      <c r="C13" t="str">
        <f>IF(ISERROR(VLOOKUP(B13,'Lists of Products and Options'!MX:NC,2,FALSE)),"",VLOOKUP(B13,'Lists of Products and Options'!MX:NC,2,FALSE))</f>
        <v/>
      </c>
      <c r="D13" t="str">
        <f>IF(ISERROR(VALUE(VLOOKUP($B13,'Lists of Products and Options'!$MX:$NC,4,FALSE))),"",VALUE(VLOOKUP($B13,'Lists of Products and Options'!$MX:$NC,4,FALSE)))</f>
        <v/>
      </c>
      <c r="E13" t="str">
        <f>IF(ISERROR(VALUE(VLOOKUP($B13,'Lists of Products and Options'!$MX:$NC,5,FALSE))),"",VALUE(VLOOKUP($B13,'Lists of Products and Options'!$MX:$NC,5,FALSE)))</f>
        <v/>
      </c>
      <c r="F13" t="str">
        <f>IF(ISERROR(VALUE(VLOOKUP($B13,'Lists of Products and Options'!$MX:$NC,6,FALSE))),"",VALUE(VLOOKUP($B13,'Lists of Products and Options'!$MX:$NC,6,FALSE)))</f>
        <v/>
      </c>
      <c r="G13" s="194" t="str">
        <f>IF(ISERROR(VLOOKUP(B13,'Lists of Products and Options'!MX:NC,3,FALSE)),"",VLOOKUP(B13,'Lists of Products and Options'!MX:NC,3,FALSE))</f>
        <v/>
      </c>
      <c r="H13" t="str">
        <f t="shared" si="0"/>
        <v/>
      </c>
      <c r="I13" t="str">
        <f t="shared" si="1"/>
        <v/>
      </c>
      <c r="J13" t="str">
        <f t="shared" si="2"/>
        <v/>
      </c>
    </row>
    <row r="14" spans="1:12">
      <c r="A14" t="s">
        <v>2014</v>
      </c>
      <c r="C14" t="str">
        <f>IF(ISERROR(VLOOKUP(B14,'Lists of Products and Options'!MX:NC,2,FALSE)),"",VLOOKUP(B14,'Lists of Products and Options'!MX:NC,2,FALSE))</f>
        <v/>
      </c>
      <c r="D14" t="str">
        <f>IF(ISERROR(VALUE(VLOOKUP($B14,'Lists of Products and Options'!$MX:$NC,4,FALSE))),"",VALUE(VLOOKUP($B14,'Lists of Products and Options'!$MX:$NC,4,FALSE)))</f>
        <v/>
      </c>
      <c r="E14" t="str">
        <f>IF(ISERROR(VALUE(VLOOKUP($B14,'Lists of Products and Options'!$MX:$NC,5,FALSE))),"",VALUE(VLOOKUP($B14,'Lists of Products and Options'!$MX:$NC,5,FALSE)))</f>
        <v/>
      </c>
      <c r="F14" t="str">
        <f>IF(ISERROR(VALUE(VLOOKUP($B14,'Lists of Products and Options'!$MX:$NC,6,FALSE))),"",VALUE(VLOOKUP($B14,'Lists of Products and Options'!$MX:$NC,6,FALSE)))</f>
        <v/>
      </c>
      <c r="G14" s="194" t="str">
        <f>IF(ISERROR(VLOOKUP(B14,'Lists of Products and Options'!MX:NC,3,FALSE)),"",VLOOKUP(B14,'Lists of Products and Options'!MX:NC,3,FALSE))</f>
        <v/>
      </c>
      <c r="H14" t="str">
        <f t="shared" si="0"/>
        <v/>
      </c>
      <c r="I14" t="str">
        <f t="shared" si="1"/>
        <v/>
      </c>
      <c r="J14" t="str">
        <f t="shared" si="2"/>
        <v/>
      </c>
    </row>
    <row r="15" spans="1:12">
      <c r="A15" t="s">
        <v>2015</v>
      </c>
      <c r="C15" t="str">
        <f>IF(ISERROR(VLOOKUP(B15,'Lists of Products and Options'!MX:NC,2,FALSE)),"",VLOOKUP(B15,'Lists of Products and Options'!MX:NC,2,FALSE))</f>
        <v/>
      </c>
      <c r="D15" t="str">
        <f>IF(ISERROR(VALUE(VLOOKUP($B15,'Lists of Products and Options'!$MX:$NC,4,FALSE))),"",VALUE(VLOOKUP($B15,'Lists of Products and Options'!$MX:$NC,4,FALSE)))</f>
        <v/>
      </c>
      <c r="E15" t="str">
        <f>IF(ISERROR(VALUE(VLOOKUP($B15,'Lists of Products and Options'!$MX:$NC,5,FALSE))),"",VALUE(VLOOKUP($B15,'Lists of Products and Options'!$MX:$NC,5,FALSE)))</f>
        <v/>
      </c>
      <c r="F15" t="str">
        <f>IF(ISERROR(VALUE(VLOOKUP($B15,'Lists of Products and Options'!$MX:$NC,6,FALSE))),"",VALUE(VLOOKUP($B15,'Lists of Products and Options'!$MX:$NC,6,FALSE)))</f>
        <v/>
      </c>
      <c r="G15" s="194" t="str">
        <f>IF(ISERROR(VLOOKUP(B15,'Lists of Products and Options'!MX:NC,3,FALSE)),"",VLOOKUP(B15,'Lists of Products and Options'!MX:NC,3,FALSE))</f>
        <v/>
      </c>
      <c r="H15" t="str">
        <f t="shared" si="0"/>
        <v/>
      </c>
      <c r="I15" t="str">
        <f t="shared" si="1"/>
        <v/>
      </c>
      <c r="J15" t="str">
        <f t="shared" si="2"/>
        <v/>
      </c>
    </row>
    <row r="16" spans="1:12">
      <c r="A16" t="s">
        <v>2016</v>
      </c>
      <c r="C16" t="str">
        <f>IF(ISERROR(VLOOKUP(B16,'Lists of Products and Options'!MX:NC,2,FALSE)),"",VLOOKUP(B16,'Lists of Products and Options'!MX:NC,2,FALSE))</f>
        <v/>
      </c>
      <c r="D16" t="str">
        <f>IF(ISERROR(VALUE(VLOOKUP($B16,'Lists of Products and Options'!$MX:$NC,4,FALSE))),"",VALUE(VLOOKUP($B16,'Lists of Products and Options'!$MX:$NC,4,FALSE)))</f>
        <v/>
      </c>
      <c r="E16" t="str">
        <f>IF(ISERROR(VALUE(VLOOKUP($B16,'Lists of Products and Options'!$MX:$NC,5,FALSE))),"",VALUE(VLOOKUP($B16,'Lists of Products and Options'!$MX:$NC,5,FALSE)))</f>
        <v/>
      </c>
      <c r="F16" t="str">
        <f>IF(ISERROR(VALUE(VLOOKUP($B16,'Lists of Products and Options'!$MX:$NC,6,FALSE))),"",VALUE(VLOOKUP($B16,'Lists of Products and Options'!$MX:$NC,6,FALSE)))</f>
        <v/>
      </c>
      <c r="G16" s="194" t="str">
        <f>IF(ISERROR(VLOOKUP(B16,'Lists of Products and Options'!MX:NC,3,FALSE)),"",VLOOKUP(B16,'Lists of Products and Options'!MX:NC,3,FALSE))</f>
        <v/>
      </c>
      <c r="H16" t="str">
        <f t="shared" si="0"/>
        <v/>
      </c>
      <c r="I16" t="str">
        <f t="shared" si="1"/>
        <v/>
      </c>
      <c r="J16" t="str">
        <f t="shared" si="2"/>
        <v/>
      </c>
    </row>
    <row r="17" spans="1:10">
      <c r="A17" t="s">
        <v>2017</v>
      </c>
      <c r="C17" t="str">
        <f>IF(ISERROR(VLOOKUP(B17,'Lists of Products and Options'!MX:NC,2,FALSE)),"",VLOOKUP(B17,'Lists of Products and Options'!MX:NC,2,FALSE))</f>
        <v/>
      </c>
      <c r="D17" t="str">
        <f>IF(ISERROR(VALUE(VLOOKUP($B17,'Lists of Products and Options'!$MX:$NC,4,FALSE))),"",VALUE(VLOOKUP($B17,'Lists of Products and Options'!$MX:$NC,4,FALSE)))</f>
        <v/>
      </c>
      <c r="E17" t="str">
        <f>IF(ISERROR(VALUE(VLOOKUP($B17,'Lists of Products and Options'!$MX:$NC,5,FALSE))),"",VALUE(VLOOKUP($B17,'Lists of Products and Options'!$MX:$NC,5,FALSE)))</f>
        <v/>
      </c>
      <c r="F17" t="str">
        <f>IF(ISERROR(VALUE(VLOOKUP($B17,'Lists of Products and Options'!$MX:$NC,6,FALSE))),"",VALUE(VLOOKUP($B17,'Lists of Products and Options'!$MX:$NC,6,FALSE)))</f>
        <v/>
      </c>
      <c r="G17" s="194" t="str">
        <f>IF(ISERROR(VLOOKUP(B17,'Lists of Products and Options'!MX:NC,3,FALSE)),"",VLOOKUP(B17,'Lists of Products and Options'!MX:NC,3,FALSE))</f>
        <v/>
      </c>
      <c r="H17" t="str">
        <f t="shared" si="0"/>
        <v/>
      </c>
      <c r="I17" t="str">
        <f t="shared" si="1"/>
        <v/>
      </c>
      <c r="J17" t="str">
        <f t="shared" si="2"/>
        <v/>
      </c>
    </row>
    <row r="18" spans="1:10">
      <c r="A18" t="s">
        <v>2018</v>
      </c>
      <c r="C18" t="str">
        <f>IF(ISERROR(VLOOKUP(B18,'Lists of Products and Options'!MX:NC,2,FALSE)),"",VLOOKUP(B18,'Lists of Products and Options'!MX:NC,2,FALSE))</f>
        <v/>
      </c>
      <c r="D18" t="str">
        <f>IF(ISERROR(VALUE(VLOOKUP($B18,'Lists of Products and Options'!$MX:$NC,4,FALSE))),"",VALUE(VLOOKUP($B18,'Lists of Products and Options'!$MX:$NC,4,FALSE)))</f>
        <v/>
      </c>
      <c r="E18" t="str">
        <f>IF(ISERROR(VALUE(VLOOKUP($B18,'Lists of Products and Options'!$MX:$NC,5,FALSE))),"",VALUE(VLOOKUP($B18,'Lists of Products and Options'!$MX:$NC,5,FALSE)))</f>
        <v/>
      </c>
      <c r="F18" t="str">
        <f>IF(ISERROR(VALUE(VLOOKUP($B18,'Lists of Products and Options'!$MX:$NC,6,FALSE))),"",VALUE(VLOOKUP($B18,'Lists of Products and Options'!$MX:$NC,6,FALSE)))</f>
        <v/>
      </c>
      <c r="G18" s="194" t="str">
        <f>IF(ISERROR(VLOOKUP(B18,'Lists of Products and Options'!MX:NC,3,FALSE)),"",VLOOKUP(B18,'Lists of Products and Options'!MX:NC,3,FALSE))</f>
        <v/>
      </c>
      <c r="H18" t="str">
        <f t="shared" si="0"/>
        <v/>
      </c>
      <c r="I18" t="str">
        <f t="shared" si="1"/>
        <v/>
      </c>
      <c r="J18" t="str">
        <f t="shared" si="2"/>
        <v/>
      </c>
    </row>
    <row r="19" spans="1:10">
      <c r="A19" t="s">
        <v>2019</v>
      </c>
      <c r="C19" t="str">
        <f>IF(ISERROR(VLOOKUP(B19,'Lists of Products and Options'!MX:NC,2,FALSE)),"",VLOOKUP(B19,'Lists of Products and Options'!MX:NC,2,FALSE))</f>
        <v/>
      </c>
      <c r="D19" t="str">
        <f>IF(ISERROR(VALUE(VLOOKUP($B19,'Lists of Products and Options'!$MX:$NC,4,FALSE))),"",VALUE(VLOOKUP($B19,'Lists of Products and Options'!$MX:$NC,4,FALSE)))</f>
        <v/>
      </c>
      <c r="E19" t="str">
        <f>IF(ISERROR(VALUE(VLOOKUP($B19,'Lists of Products and Options'!$MX:$NC,5,FALSE))),"",VALUE(VLOOKUP($B19,'Lists of Products and Options'!$MX:$NC,5,FALSE)))</f>
        <v/>
      </c>
      <c r="F19" t="str">
        <f>IF(ISERROR(VALUE(VLOOKUP($B19,'Lists of Products and Options'!$MX:$NC,6,FALSE))),"",VALUE(VLOOKUP($B19,'Lists of Products and Options'!$MX:$NC,6,FALSE)))</f>
        <v/>
      </c>
      <c r="G19" s="194" t="str">
        <f>IF(ISERROR(VLOOKUP(B19,'Lists of Products and Options'!MX:NC,3,FALSE)),"",VLOOKUP(B19,'Lists of Products and Options'!MX:NC,3,FALSE))</f>
        <v/>
      </c>
      <c r="H19" t="str">
        <f t="shared" si="0"/>
        <v/>
      </c>
      <c r="I19" t="str">
        <f t="shared" si="1"/>
        <v/>
      </c>
      <c r="J19" t="str">
        <f t="shared" si="2"/>
        <v/>
      </c>
    </row>
    <row r="20" spans="1:10">
      <c r="A20" t="s">
        <v>2020</v>
      </c>
      <c r="C20" t="str">
        <f>IF(ISERROR(VLOOKUP(B20,'Lists of Products and Options'!MX:NC,2,FALSE)),"",VLOOKUP(B20,'Lists of Products and Options'!MX:NC,2,FALSE))</f>
        <v/>
      </c>
      <c r="D20" t="str">
        <f>IF(ISERROR(VALUE(VLOOKUP($B20,'Lists of Products and Options'!$MX:$NC,4,FALSE))),"",VALUE(VLOOKUP($B20,'Lists of Products and Options'!$MX:$NC,4,FALSE)))</f>
        <v/>
      </c>
      <c r="E20" t="str">
        <f>IF(ISERROR(VALUE(VLOOKUP($B20,'Lists of Products and Options'!$MX:$NC,5,FALSE))),"",VALUE(VLOOKUP($B20,'Lists of Products and Options'!$MX:$NC,5,FALSE)))</f>
        <v/>
      </c>
      <c r="F20" t="str">
        <f>IF(ISERROR(VALUE(VLOOKUP($B20,'Lists of Products and Options'!$MX:$NC,6,FALSE))),"",VALUE(VLOOKUP($B20,'Lists of Products and Options'!$MX:$NC,6,FALSE)))</f>
        <v/>
      </c>
      <c r="G20" s="194" t="str">
        <f>IF(ISERROR(VLOOKUP(B20,'Lists of Products and Options'!MX:NC,3,FALSE)),"",VLOOKUP(B20,'Lists of Products and Options'!MX:NC,3,FALSE))</f>
        <v/>
      </c>
      <c r="H20" t="str">
        <f t="shared" si="0"/>
        <v/>
      </c>
      <c r="I20" t="str">
        <f t="shared" si="1"/>
        <v/>
      </c>
      <c r="J20" t="str">
        <f t="shared" si="2"/>
        <v/>
      </c>
    </row>
    <row r="21" spans="1:10">
      <c r="A21" t="s">
        <v>2021</v>
      </c>
      <c r="C21" t="str">
        <f>IF(ISERROR(VLOOKUP(B21,'Lists of Products and Options'!MX:NC,2,FALSE)),"",VLOOKUP(B21,'Lists of Products and Options'!MX:NC,2,FALSE))</f>
        <v/>
      </c>
      <c r="D21" t="str">
        <f>IF(ISERROR(VALUE(VLOOKUP($B21,'Lists of Products and Options'!$MX:$NC,4,FALSE))),"",VALUE(VLOOKUP($B21,'Lists of Products and Options'!$MX:$NC,4,FALSE)))</f>
        <v/>
      </c>
      <c r="E21" t="str">
        <f>IF(ISERROR(VALUE(VLOOKUP($B21,'Lists of Products and Options'!$MX:$NC,5,FALSE))),"",VALUE(VLOOKUP($B21,'Lists of Products and Options'!$MX:$NC,5,FALSE)))</f>
        <v/>
      </c>
      <c r="F21" t="str">
        <f>IF(ISERROR(VALUE(VLOOKUP($B21,'Lists of Products and Options'!$MX:$NC,6,FALSE))),"",VALUE(VLOOKUP($B21,'Lists of Products and Options'!$MX:$NC,6,FALSE)))</f>
        <v/>
      </c>
      <c r="G21" s="194" t="str">
        <f>IF(ISERROR(VLOOKUP(B21,'Lists of Products and Options'!MX:NC,3,FALSE)),"",VLOOKUP(B21,'Lists of Products and Options'!MX:NC,3,FALSE))</f>
        <v/>
      </c>
      <c r="H21" t="str">
        <f t="shared" si="0"/>
        <v/>
      </c>
      <c r="I21" t="str">
        <f t="shared" si="1"/>
        <v/>
      </c>
      <c r="J21" t="str">
        <f t="shared" si="2"/>
        <v/>
      </c>
    </row>
    <row r="22" spans="1:10">
      <c r="A22" t="s">
        <v>2022</v>
      </c>
      <c r="C22" t="str">
        <f>IF(ISERROR(VLOOKUP(B22,'Lists of Products and Options'!MX:NC,2,FALSE)),"",VLOOKUP(B22,'Lists of Products and Options'!MX:NC,2,FALSE))</f>
        <v/>
      </c>
      <c r="D22" t="str">
        <f>IF(ISERROR(VALUE(VLOOKUP($B22,'Lists of Products and Options'!$MX:$NC,4,FALSE))),"",VALUE(VLOOKUP($B22,'Lists of Products and Options'!$MX:$NC,4,FALSE)))</f>
        <v/>
      </c>
      <c r="E22" t="str">
        <f>IF(ISERROR(VALUE(VLOOKUP($B22,'Lists of Products and Options'!$MX:$NC,5,FALSE))),"",VALUE(VLOOKUP($B22,'Lists of Products and Options'!$MX:$NC,5,FALSE)))</f>
        <v/>
      </c>
      <c r="F22" t="str">
        <f>IF(ISERROR(VALUE(VLOOKUP($B22,'Lists of Products and Options'!$MX:$NC,6,FALSE))),"",VALUE(VLOOKUP($B22,'Lists of Products and Options'!$MX:$NC,6,FALSE)))</f>
        <v/>
      </c>
      <c r="G22" s="194" t="str">
        <f>IF(ISERROR(VLOOKUP(B22,'Lists of Products and Options'!MX:NC,3,FALSE)),"",VLOOKUP(B22,'Lists of Products and Options'!MX:NC,3,FALSE))</f>
        <v/>
      </c>
      <c r="H22" t="str">
        <f t="shared" si="0"/>
        <v/>
      </c>
      <c r="I22" t="str">
        <f t="shared" si="1"/>
        <v/>
      </c>
      <c r="J22" t="str">
        <f t="shared" si="2"/>
        <v/>
      </c>
    </row>
    <row r="23" spans="1:10">
      <c r="A23" t="s">
        <v>2023</v>
      </c>
      <c r="C23" t="str">
        <f>IF(ISERROR(VLOOKUP(B23,'Lists of Products and Options'!MX:NC,2,FALSE)),"",VLOOKUP(B23,'Lists of Products and Options'!MX:NC,2,FALSE))</f>
        <v/>
      </c>
      <c r="D23" t="str">
        <f>IF(ISERROR(VALUE(VLOOKUP($B23,'Lists of Products and Options'!$MX:$NC,4,FALSE))),"",VALUE(VLOOKUP($B23,'Lists of Products and Options'!$MX:$NC,4,FALSE)))</f>
        <v/>
      </c>
      <c r="E23" t="str">
        <f>IF(ISERROR(VALUE(VLOOKUP($B23,'Lists of Products and Options'!$MX:$NC,5,FALSE))),"",VALUE(VLOOKUP($B23,'Lists of Products and Options'!$MX:$NC,5,FALSE)))</f>
        <v/>
      </c>
      <c r="F23" t="str">
        <f>IF(ISERROR(VALUE(VLOOKUP($B23,'Lists of Products and Options'!$MX:$NC,6,FALSE))),"",VALUE(VLOOKUP($B23,'Lists of Products and Options'!$MX:$NC,6,FALSE)))</f>
        <v/>
      </c>
      <c r="G23" s="194" t="str">
        <f>IF(ISERROR(VLOOKUP(B23,'Lists of Products and Options'!MX:NC,3,FALSE)),"",VLOOKUP(B23,'Lists of Products and Options'!MX:NC,3,FALSE))</f>
        <v/>
      </c>
      <c r="H23" t="str">
        <f t="shared" si="0"/>
        <v/>
      </c>
      <c r="I23" t="str">
        <f t="shared" si="1"/>
        <v/>
      </c>
      <c r="J23" t="str">
        <f t="shared" si="2"/>
        <v/>
      </c>
    </row>
    <row r="24" spans="1:10">
      <c r="A24" t="s">
        <v>2024</v>
      </c>
      <c r="C24" t="str">
        <f>IF(ISERROR(VLOOKUP(B24,'Lists of Products and Options'!MX:NC,2,FALSE)),"",VLOOKUP(B24,'Lists of Products and Options'!MX:NC,2,FALSE))</f>
        <v/>
      </c>
      <c r="D24" t="str">
        <f>IF(ISERROR(VALUE(VLOOKUP($B24,'Lists of Products and Options'!$MX:$NC,4,FALSE))),"",VALUE(VLOOKUP($B24,'Lists of Products and Options'!$MX:$NC,4,FALSE)))</f>
        <v/>
      </c>
      <c r="E24" t="str">
        <f>IF(ISERROR(VALUE(VLOOKUP($B24,'Lists of Products and Options'!$MX:$NC,5,FALSE))),"",VALUE(VLOOKUP($B24,'Lists of Products and Options'!$MX:$NC,5,FALSE)))</f>
        <v/>
      </c>
      <c r="F24" t="str">
        <f>IF(ISERROR(VALUE(VLOOKUP($B24,'Lists of Products and Options'!$MX:$NC,6,FALSE))),"",VALUE(VLOOKUP($B24,'Lists of Products and Options'!$MX:$NC,6,FALSE)))</f>
        <v/>
      </c>
      <c r="G24" s="194" t="str">
        <f>IF(ISERROR(VLOOKUP(B24,'Lists of Products and Options'!MX:NC,3,FALSE)),"",VLOOKUP(B24,'Lists of Products and Options'!MX:NC,3,FALSE))</f>
        <v/>
      </c>
      <c r="H24" t="str">
        <f t="shared" si="0"/>
        <v/>
      </c>
      <c r="I24" t="str">
        <f t="shared" si="1"/>
        <v/>
      </c>
      <c r="J24" t="str">
        <f t="shared" si="2"/>
        <v/>
      </c>
    </row>
    <row r="25" spans="1:10">
      <c r="A25" t="s">
        <v>2025</v>
      </c>
      <c r="C25" t="str">
        <f>IF(ISERROR(VLOOKUP(B25,'Lists of Products and Options'!MX:NC,2,FALSE)),"",VLOOKUP(B25,'Lists of Products and Options'!MX:NC,2,FALSE))</f>
        <v/>
      </c>
      <c r="D25" t="str">
        <f>IF(ISERROR(VALUE(VLOOKUP($B25,'Lists of Products and Options'!$MX:$NC,4,FALSE))),"",VALUE(VLOOKUP($B25,'Lists of Products and Options'!$MX:$NC,4,FALSE)))</f>
        <v/>
      </c>
      <c r="E25" t="str">
        <f>IF(ISERROR(VALUE(VLOOKUP($B25,'Lists of Products and Options'!$MX:$NC,5,FALSE))),"",VALUE(VLOOKUP($B25,'Lists of Products and Options'!$MX:$NC,5,FALSE)))</f>
        <v/>
      </c>
      <c r="F25" t="str">
        <f>IF(ISERROR(VALUE(VLOOKUP($B25,'Lists of Products and Options'!$MX:$NC,6,FALSE))),"",VALUE(VLOOKUP($B25,'Lists of Products and Options'!$MX:$NC,6,FALSE)))</f>
        <v/>
      </c>
      <c r="G25" s="194" t="str">
        <f>IF(ISERROR(VLOOKUP(B25,'Lists of Products and Options'!MX:NC,3,FALSE)),"",VLOOKUP(B25,'Lists of Products and Options'!MX:NC,3,FALSE))</f>
        <v/>
      </c>
      <c r="H25" t="str">
        <f t="shared" si="0"/>
        <v/>
      </c>
      <c r="I25" t="str">
        <f t="shared" si="1"/>
        <v/>
      </c>
      <c r="J25" t="str">
        <f t="shared" si="2"/>
        <v/>
      </c>
    </row>
    <row r="26" spans="1:10">
      <c r="A26" s="186" t="s">
        <v>1995</v>
      </c>
      <c r="B26" s="186"/>
      <c r="C26" s="186" t="str">
        <f>IF(ISERROR(VLOOKUP(B26,'Lists of Products and Options'!MX:NC,2,FALSE)),"",VLOOKUP(B26,'Lists of Products and Options'!MX:NC,2,FALSE))</f>
        <v/>
      </c>
      <c r="D26" s="186"/>
      <c r="E26" s="186"/>
      <c r="F26" s="186"/>
      <c r="G26" s="187">
        <f>SUM(G6:G25)</f>
        <v>8907</v>
      </c>
      <c r="H26" s="186" t="str">
        <f>IF(SUM(D6:D25)&lt;D2,"Conforms; Specifications allow for more room: ","Exceeds Length Specification by ") &amp; ABS(SUM(D6:D25)-D2) &amp;" inches"</f>
        <v>Conforms; Specifications allow for more room: 60 inches</v>
      </c>
      <c r="I26" s="186"/>
      <c r="J26" s="186"/>
    </row>
    <row r="27" spans="1:10">
      <c r="C27" t="str">
        <f>IF(ISERROR(VLOOKUP(B27,'Lists of Products and Options'!MX:NC,2,FALSE)),"",VLOOKUP(B27,'Lists of Products and Options'!MX:NC,2,FALSE))</f>
        <v/>
      </c>
    </row>
    <row r="28" spans="1:10">
      <c r="C28" t="str">
        <f>IF(ISERROR(VLOOKUP(B28,'Lists of Products and Options'!MX:NC,2,FALSE)),"",VLOOKUP(B28,'Lists of Products and Options'!MX:NC,2,FALSE))</f>
        <v/>
      </c>
    </row>
  </sheetData>
  <mergeCells count="5">
    <mergeCell ref="D4:F4"/>
    <mergeCell ref="H4:J4"/>
    <mergeCell ref="C4:C5"/>
    <mergeCell ref="B4:B5"/>
    <mergeCell ref="A4:A5"/>
  </mergeCells>
  <dataValidations count="5">
    <dataValidation type="whole" operator="greaterThanOrEqual" allowBlank="1" showInputMessage="1" showErrorMessage="1" sqref="F3">
      <formula1>24</formula1>
    </dataValidation>
    <dataValidation type="list" allowBlank="1" showInputMessage="1" showErrorMessage="1" sqref="B6:B25">
      <formula1>INDIRECT("SteriOptionsPart")</formula1>
    </dataValidation>
    <dataValidation type="whole" operator="greaterThanOrEqual" allowBlank="1" showInputMessage="1" showErrorMessage="1" errorTitle="Steri Center " error="The Steri Center must be at least 4 feet long" sqref="E3 D2">
      <formula1>48</formula1>
    </dataValidation>
    <dataValidation type="whole" operator="greaterThanOrEqual" allowBlank="1" showInputMessage="1" showErrorMessage="1" errorTitle="Sterilization Cabinetry Height" error="Warning: You have entered too small a height; Steri Centers must be at least 84 inches tall." sqref="D3 E2">
      <formula1>84</formula1>
    </dataValidation>
    <dataValidation type="whole" operator="greaterThanOrEqual" allowBlank="1" showInputMessage="1" showErrorMessage="1" errorTitle="Depth" error="Depth of Steri Center must be at least 14 inches" sqref="F2">
      <formula1>14</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
  <sheetViews>
    <sheetView workbookViewId="0">
      <selection activeCell="G3" sqref="G3:AB3"/>
    </sheetView>
  </sheetViews>
  <sheetFormatPr defaultRowHeight="15"/>
  <cols>
    <col min="3" max="3" width="19.5703125" customWidth="1"/>
    <col min="4" max="4" width="33.140625" customWidth="1"/>
    <col min="5" max="5" width="32.7109375" customWidth="1"/>
    <col min="6" max="6" width="19.5703125" customWidth="1"/>
    <col min="7" max="7" width="18" customWidth="1"/>
    <col min="8" max="8" width="34.85546875" customWidth="1"/>
    <col min="9" max="9" width="18.5703125" customWidth="1"/>
    <col min="10" max="10" width="21" customWidth="1"/>
    <col min="11" max="11" width="14.5703125" customWidth="1"/>
    <col min="12" max="13" width="14.85546875" customWidth="1"/>
    <col min="14" max="14" width="13.7109375" customWidth="1"/>
    <col min="15" max="15" width="12.85546875" customWidth="1"/>
  </cols>
  <sheetData>
    <row r="1" spans="1:19">
      <c r="A1" s="188" t="s">
        <v>2068</v>
      </c>
    </row>
    <row r="3" spans="1:19" ht="54.75" customHeight="1">
      <c r="C3" s="182" t="s">
        <v>2067</v>
      </c>
      <c r="D3" s="198" t="s">
        <v>2066</v>
      </c>
      <c r="E3" s="198" t="s">
        <v>2051</v>
      </c>
      <c r="F3" s="198" t="s">
        <v>1593</v>
      </c>
      <c r="G3" s="198" t="s">
        <v>2</v>
      </c>
      <c r="H3" s="198" t="s">
        <v>2056</v>
      </c>
      <c r="I3" s="198" t="s">
        <v>1595</v>
      </c>
      <c r="J3" s="198" t="s">
        <v>1630</v>
      </c>
      <c r="K3" s="198" t="s">
        <v>1631</v>
      </c>
      <c r="L3" s="198" t="s">
        <v>0</v>
      </c>
      <c r="M3" s="198" t="s">
        <v>1492</v>
      </c>
      <c r="N3" s="198" t="s">
        <v>1664</v>
      </c>
      <c r="O3" s="198" t="s">
        <v>1491</v>
      </c>
      <c r="P3" s="198" t="s">
        <v>3</v>
      </c>
      <c r="Q3" s="198" t="s">
        <v>4</v>
      </c>
      <c r="R3" s="198" t="s">
        <v>5</v>
      </c>
      <c r="S3" s="198" t="s">
        <v>6</v>
      </c>
    </row>
    <row r="4" spans="1:19" ht="62.25" customHeight="1">
      <c r="B4" s="47" t="s">
        <v>18</v>
      </c>
      <c r="C4" s="179"/>
      <c r="D4" s="179"/>
      <c r="E4" s="179"/>
      <c r="F4" s="179"/>
      <c r="G4" s="179"/>
      <c r="H4" s="179"/>
      <c r="I4" s="179"/>
      <c r="J4" s="179"/>
      <c r="K4" s="179"/>
      <c r="L4" s="179"/>
      <c r="M4" s="179"/>
      <c r="N4" s="179"/>
      <c r="O4" s="179"/>
      <c r="P4" s="179"/>
      <c r="Q4" s="179"/>
      <c r="R4" s="179"/>
      <c r="S4" s="179"/>
    </row>
    <row r="5" spans="1:19" ht="62.25" customHeight="1">
      <c r="B5" s="47" t="s">
        <v>22</v>
      </c>
      <c r="C5" s="179"/>
      <c r="D5" s="179"/>
      <c r="E5" s="179"/>
      <c r="F5" s="179"/>
      <c r="G5" s="179"/>
      <c r="H5" s="179"/>
      <c r="I5" s="179"/>
      <c r="J5" s="179"/>
      <c r="K5" s="179"/>
      <c r="L5" s="179"/>
      <c r="M5" s="179"/>
      <c r="N5" s="179"/>
      <c r="O5" s="179"/>
      <c r="P5" s="179"/>
      <c r="Q5" s="179"/>
      <c r="R5" s="179"/>
      <c r="S5" s="179"/>
    </row>
    <row r="6" spans="1:19" ht="62.25" customHeight="1">
      <c r="B6" s="47" t="s">
        <v>16</v>
      </c>
      <c r="C6" s="179"/>
      <c r="D6" s="179"/>
      <c r="E6" s="179"/>
      <c r="F6" s="179"/>
      <c r="G6" s="179"/>
      <c r="H6" s="179"/>
      <c r="I6" s="179"/>
      <c r="J6" s="179"/>
      <c r="K6" s="179"/>
      <c r="L6" s="179"/>
      <c r="M6" s="179"/>
      <c r="N6" s="179"/>
      <c r="O6" s="179"/>
      <c r="P6" s="179"/>
      <c r="Q6" s="179"/>
      <c r="R6" s="179"/>
      <c r="S6" s="179"/>
    </row>
    <row r="7" spans="1:19" ht="62.25" customHeight="1">
      <c r="B7" s="47" t="s">
        <v>20</v>
      </c>
      <c r="C7" s="179"/>
      <c r="D7" s="179"/>
      <c r="E7" s="179"/>
      <c r="F7" s="179"/>
      <c r="G7" s="179"/>
      <c r="H7" s="179"/>
      <c r="I7" s="179"/>
      <c r="J7" s="179"/>
      <c r="K7" s="179"/>
      <c r="L7" s="179"/>
      <c r="M7" s="179"/>
      <c r="N7" s="179"/>
      <c r="O7" s="179"/>
      <c r="P7" s="179"/>
      <c r="Q7" s="179"/>
      <c r="R7" s="179"/>
      <c r="S7" s="179"/>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W22"/>
  <sheetViews>
    <sheetView workbookViewId="0">
      <selection activeCell="G3" sqref="G3:AB3"/>
    </sheetView>
  </sheetViews>
  <sheetFormatPr defaultRowHeight="15"/>
  <cols>
    <col min="4" max="7" width="19.28515625" customWidth="1"/>
    <col min="8" max="8" width="9.7109375" customWidth="1"/>
    <col min="9" max="9" width="14.85546875" customWidth="1"/>
    <col min="10" max="10" width="10.5703125" customWidth="1"/>
    <col min="11" max="11" width="23.7109375" customWidth="1"/>
    <col min="12" max="12" width="15" customWidth="1"/>
    <col min="13" max="23" width="19.28515625" customWidth="1"/>
  </cols>
  <sheetData>
    <row r="1" spans="2:23" ht="75" customHeight="1">
      <c r="C1" s="195" t="s">
        <v>1488</v>
      </c>
      <c r="D1" s="195" t="s">
        <v>1622</v>
      </c>
      <c r="E1" s="195" t="s">
        <v>2066</v>
      </c>
      <c r="F1" s="195" t="s">
        <v>2051</v>
      </c>
      <c r="G1" s="195" t="s">
        <v>2054</v>
      </c>
      <c r="H1" s="195" t="s">
        <v>1593</v>
      </c>
      <c r="I1" s="195" t="s">
        <v>2055</v>
      </c>
      <c r="J1" s="195" t="s">
        <v>2</v>
      </c>
      <c r="K1" s="195" t="s">
        <v>2056</v>
      </c>
      <c r="L1" s="195" t="s">
        <v>1595</v>
      </c>
      <c r="M1" s="195" t="s">
        <v>1630</v>
      </c>
      <c r="N1" s="195" t="s">
        <v>1631</v>
      </c>
      <c r="O1" s="195" t="s">
        <v>0</v>
      </c>
      <c r="P1" s="196" t="s">
        <v>1492</v>
      </c>
      <c r="Q1" s="196" t="s">
        <v>1664</v>
      </c>
      <c r="R1" s="196"/>
      <c r="S1" s="195" t="s">
        <v>1491</v>
      </c>
      <c r="T1" s="196" t="s">
        <v>3</v>
      </c>
      <c r="U1" s="195" t="s">
        <v>4</v>
      </c>
      <c r="V1" s="197" t="s">
        <v>5</v>
      </c>
      <c r="W1" s="195" t="s">
        <v>6</v>
      </c>
    </row>
    <row r="2" spans="2:23">
      <c r="B2" s="161" t="s">
        <v>1709</v>
      </c>
    </row>
    <row r="3" spans="2:23">
      <c r="B3" s="176" t="s">
        <v>1717</v>
      </c>
    </row>
    <row r="4" spans="2:23">
      <c r="B4" s="161" t="s">
        <v>1718</v>
      </c>
    </row>
    <row r="5" spans="2:23">
      <c r="B5" s="175" t="s">
        <v>1719</v>
      </c>
    </row>
    <row r="6" spans="2:23">
      <c r="B6" s="161" t="s">
        <v>1720</v>
      </c>
    </row>
    <row r="7" spans="2:23">
      <c r="B7" s="159" t="s">
        <v>1721</v>
      </c>
    </row>
    <row r="8" spans="2:23">
      <c r="B8" s="160" t="s">
        <v>1722</v>
      </c>
    </row>
    <row r="9" spans="2:23">
      <c r="B9" s="159" t="s">
        <v>1723</v>
      </c>
    </row>
    <row r="10" spans="2:23">
      <c r="B10" s="174" t="s">
        <v>1724</v>
      </c>
    </row>
    <row r="11" spans="2:23">
      <c r="B11" s="159" t="s">
        <v>196</v>
      </c>
    </row>
    <row r="12" spans="2:23">
      <c r="B12" s="159" t="s">
        <v>198</v>
      </c>
    </row>
    <row r="13" spans="2:23">
      <c r="B13" s="159" t="s">
        <v>200</v>
      </c>
    </row>
    <row r="14" spans="2:23">
      <c r="B14" s="159" t="s">
        <v>202</v>
      </c>
    </row>
    <row r="15" spans="2:23">
      <c r="B15" s="159" t="s">
        <v>204</v>
      </c>
    </row>
    <row r="16" spans="2:23">
      <c r="B16" s="159" t="s">
        <v>206</v>
      </c>
    </row>
    <row r="17" spans="2:2">
      <c r="B17" s="161" t="s">
        <v>189</v>
      </c>
    </row>
    <row r="18" spans="2:2">
      <c r="B18" s="161" t="s">
        <v>208</v>
      </c>
    </row>
    <row r="19" spans="2:2">
      <c r="B19" s="161" t="s">
        <v>191</v>
      </c>
    </row>
    <row r="20" spans="2:2">
      <c r="B20" s="159" t="s">
        <v>210</v>
      </c>
    </row>
    <row r="21" spans="2:2">
      <c r="B21" s="161" t="s">
        <v>214</v>
      </c>
    </row>
    <row r="22" spans="2:2">
      <c r="B22" s="159" t="s">
        <v>212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2:X8"/>
  <sheetViews>
    <sheetView workbookViewId="0">
      <selection activeCell="G3" sqref="G3:AB3"/>
    </sheetView>
  </sheetViews>
  <sheetFormatPr defaultRowHeight="15"/>
  <sheetData>
    <row r="2" spans="3:24" ht="204.75">
      <c r="D2" s="195" t="s">
        <v>1488</v>
      </c>
      <c r="E2" s="195" t="s">
        <v>1622</v>
      </c>
      <c r="F2" s="195" t="s">
        <v>2066</v>
      </c>
      <c r="G2" s="195" t="s">
        <v>2051</v>
      </c>
      <c r="H2" s="195" t="s">
        <v>2054</v>
      </c>
      <c r="I2" s="195" t="s">
        <v>1593</v>
      </c>
      <c r="J2" s="195" t="s">
        <v>2055</v>
      </c>
      <c r="K2" s="195" t="s">
        <v>2</v>
      </c>
      <c r="L2" s="195" t="s">
        <v>2056</v>
      </c>
      <c r="M2" s="195" t="s">
        <v>1595</v>
      </c>
      <c r="N2" s="195" t="s">
        <v>1630</v>
      </c>
      <c r="O2" s="195" t="s">
        <v>1631</v>
      </c>
      <c r="P2" s="195" t="s">
        <v>0</v>
      </c>
      <c r="Q2" s="196" t="s">
        <v>1492</v>
      </c>
      <c r="R2" s="196" t="s">
        <v>1664</v>
      </c>
      <c r="S2" s="196"/>
      <c r="T2" s="195" t="s">
        <v>1491</v>
      </c>
      <c r="U2" s="196" t="s">
        <v>3</v>
      </c>
      <c r="V2" s="195" t="s">
        <v>4</v>
      </c>
      <c r="W2" s="197" t="s">
        <v>5</v>
      </c>
      <c r="X2" s="195" t="s">
        <v>6</v>
      </c>
    </row>
    <row r="3" spans="3:24">
      <c r="C3" s="162" t="s">
        <v>30</v>
      </c>
    </row>
    <row r="4" spans="3:24">
      <c r="C4" s="162" t="s">
        <v>32</v>
      </c>
    </row>
    <row r="5" spans="3:24">
      <c r="C5" s="162" t="s">
        <v>26</v>
      </c>
    </row>
    <row r="6" spans="3:24">
      <c r="C6" s="162" t="s">
        <v>28</v>
      </c>
    </row>
    <row r="7" spans="3:24">
      <c r="C7" s="162">
        <v>100</v>
      </c>
    </row>
    <row r="8" spans="3:24">
      <c r="C8" s="162">
        <v>101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F3:AB9"/>
  <sheetViews>
    <sheetView workbookViewId="0">
      <selection activeCell="G3" sqref="G3:AB3"/>
    </sheetView>
  </sheetViews>
  <sheetFormatPr defaultRowHeight="15"/>
  <sheetData>
    <row r="3" spans="6:28" ht="204.75">
      <c r="G3" s="195" t="s">
        <v>1498</v>
      </c>
      <c r="H3" s="195" t="s">
        <v>1488</v>
      </c>
      <c r="I3" s="195" t="s">
        <v>1622</v>
      </c>
      <c r="J3" s="195" t="s">
        <v>2066</v>
      </c>
      <c r="K3" s="195" t="s">
        <v>2051</v>
      </c>
      <c r="L3" s="195" t="s">
        <v>2054</v>
      </c>
      <c r="M3" s="195" t="s">
        <v>1593</v>
      </c>
      <c r="N3" s="195" t="s">
        <v>2055</v>
      </c>
      <c r="O3" s="195" t="s">
        <v>2</v>
      </c>
      <c r="P3" s="195" t="s">
        <v>2056</v>
      </c>
      <c r="Q3" s="195" t="s">
        <v>1595</v>
      </c>
      <c r="R3" s="195" t="s">
        <v>1630</v>
      </c>
      <c r="S3" s="195" t="s">
        <v>1631</v>
      </c>
      <c r="T3" s="195" t="s">
        <v>0</v>
      </c>
      <c r="U3" s="196" t="s">
        <v>1492</v>
      </c>
      <c r="V3" s="196" t="s">
        <v>1664</v>
      </c>
      <c r="W3" s="196"/>
      <c r="X3" s="195" t="s">
        <v>1491</v>
      </c>
      <c r="Y3" s="196" t="s">
        <v>3</v>
      </c>
      <c r="Z3" s="195" t="s">
        <v>4</v>
      </c>
      <c r="AA3" s="197" t="s">
        <v>5</v>
      </c>
      <c r="AB3" s="195" t="s">
        <v>6</v>
      </c>
    </row>
    <row r="4" spans="6:28">
      <c r="F4" s="149" t="s">
        <v>233</v>
      </c>
    </row>
    <row r="5" spans="6:28">
      <c r="F5" s="149" t="s">
        <v>231</v>
      </c>
    </row>
    <row r="6" spans="6:28">
      <c r="F6" s="149" t="s">
        <v>229</v>
      </c>
    </row>
    <row r="7" spans="6:28">
      <c r="F7" s="150" t="s">
        <v>227</v>
      </c>
    </row>
    <row r="8" spans="6:28">
      <c r="F8" s="150" t="s">
        <v>225</v>
      </c>
    </row>
    <row r="9" spans="6:28">
      <c r="F9" s="150" t="s">
        <v>223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5:W34"/>
  <sheetViews>
    <sheetView workbookViewId="0"/>
  </sheetViews>
  <sheetFormatPr defaultRowHeight="15"/>
  <cols>
    <col min="2" max="2" width="9.85546875" customWidth="1"/>
    <col min="3" max="3" width="17" customWidth="1"/>
    <col min="4" max="4" width="14.28515625" customWidth="1"/>
    <col min="5" max="5" width="20.140625" customWidth="1"/>
    <col min="6" max="6" width="28.42578125" customWidth="1"/>
    <col min="7" max="7" width="24.42578125" customWidth="1"/>
    <col min="8" max="8" width="23.7109375" customWidth="1"/>
    <col min="9" max="9" width="15" customWidth="1"/>
    <col min="10" max="10" width="18.5703125" customWidth="1"/>
    <col min="11" max="11" width="11.28515625" customWidth="1"/>
    <col min="12" max="12" width="37.28515625" customWidth="1"/>
    <col min="13" max="13" width="16.28515625" customWidth="1"/>
    <col min="14" max="14" width="12.85546875" customWidth="1"/>
    <col min="15" max="15" width="12.140625" customWidth="1"/>
    <col min="16" max="16" width="17.140625" customWidth="1"/>
    <col min="17" max="17" width="12.28515625" customWidth="1"/>
    <col min="18" max="18" width="15.28515625" customWidth="1"/>
    <col min="19" max="19" width="13.85546875" customWidth="1"/>
    <col min="20" max="20" width="15" customWidth="1"/>
    <col min="21" max="21" width="16.42578125" customWidth="1"/>
    <col min="22" max="22" width="12.5703125" customWidth="1"/>
    <col min="23" max="23" width="15.7109375" customWidth="1"/>
  </cols>
  <sheetData>
    <row r="5" spans="2:23" ht="49.5" customHeight="1">
      <c r="C5" s="195" t="s">
        <v>1498</v>
      </c>
      <c r="D5" s="195" t="s">
        <v>1488</v>
      </c>
      <c r="E5" s="195" t="s">
        <v>1622</v>
      </c>
      <c r="F5" s="195" t="s">
        <v>2066</v>
      </c>
      <c r="G5" s="195" t="s">
        <v>2051</v>
      </c>
      <c r="H5" s="195" t="s">
        <v>2054</v>
      </c>
      <c r="I5" s="195" t="s">
        <v>1593</v>
      </c>
      <c r="J5" s="195" t="s">
        <v>2055</v>
      </c>
      <c r="K5" s="195" t="s">
        <v>2</v>
      </c>
      <c r="L5" s="195" t="s">
        <v>2056</v>
      </c>
      <c r="M5" s="195" t="s">
        <v>1595</v>
      </c>
      <c r="N5" s="195" t="s">
        <v>1630</v>
      </c>
      <c r="O5" s="195" t="s">
        <v>1631</v>
      </c>
      <c r="P5" s="195" t="s">
        <v>0</v>
      </c>
      <c r="Q5" s="196" t="s">
        <v>1492</v>
      </c>
      <c r="R5" s="196" t="s">
        <v>1664</v>
      </c>
      <c r="S5" s="195" t="s">
        <v>1491</v>
      </c>
      <c r="T5" s="196" t="s">
        <v>3</v>
      </c>
      <c r="U5" s="195" t="s">
        <v>4</v>
      </c>
      <c r="V5" s="197" t="s">
        <v>5</v>
      </c>
      <c r="W5" s="195" t="s">
        <v>6</v>
      </c>
    </row>
    <row r="6" spans="2:23">
      <c r="B6" s="151" t="s">
        <v>281</v>
      </c>
    </row>
    <row r="7" spans="2:23">
      <c r="B7" s="152" t="s">
        <v>216</v>
      </c>
    </row>
    <row r="8" spans="2:23" ht="24">
      <c r="B8" s="152" t="s">
        <v>1634</v>
      </c>
    </row>
    <row r="9" spans="2:23">
      <c r="B9" s="152" t="s">
        <v>1635</v>
      </c>
    </row>
    <row r="10" spans="2:23">
      <c r="B10" s="151" t="s">
        <v>221</v>
      </c>
    </row>
    <row r="11" spans="2:23" ht="24">
      <c r="B11" s="151" t="s">
        <v>1638</v>
      </c>
    </row>
    <row r="12" spans="2:23" ht="24">
      <c r="B12" s="153" t="s">
        <v>277</v>
      </c>
    </row>
    <row r="13" spans="2:23" ht="36">
      <c r="B13" s="153" t="s">
        <v>279</v>
      </c>
    </row>
    <row r="14" spans="2:23" ht="24">
      <c r="B14" s="150" t="s">
        <v>237</v>
      </c>
    </row>
    <row r="15" spans="2:23" ht="24">
      <c r="B15" s="150" t="s">
        <v>241</v>
      </c>
    </row>
    <row r="16" spans="2:23" ht="24">
      <c r="B16" s="150" t="s">
        <v>235</v>
      </c>
    </row>
    <row r="17" spans="2:2" ht="24">
      <c r="B17" s="150" t="s">
        <v>239</v>
      </c>
    </row>
    <row r="18" spans="2:2" ht="24">
      <c r="B18" s="153" t="s">
        <v>269</v>
      </c>
    </row>
    <row r="19" spans="2:2" ht="24">
      <c r="B19" s="153" t="s">
        <v>271</v>
      </c>
    </row>
    <row r="20" spans="2:2" ht="36">
      <c r="B20" s="153" t="s">
        <v>273</v>
      </c>
    </row>
    <row r="21" spans="2:2" ht="36">
      <c r="B21" s="153" t="s">
        <v>275</v>
      </c>
    </row>
    <row r="22" spans="2:2">
      <c r="B22" s="153" t="s">
        <v>243</v>
      </c>
    </row>
    <row r="23" spans="2:2" ht="24">
      <c r="B23" s="153" t="s">
        <v>245</v>
      </c>
    </row>
    <row r="24" spans="2:2" ht="24">
      <c r="B24" s="153" t="s">
        <v>249</v>
      </c>
    </row>
    <row r="25" spans="2:2" ht="24">
      <c r="B25" s="153" t="s">
        <v>251</v>
      </c>
    </row>
    <row r="26" spans="2:2" ht="24">
      <c r="B26" s="153" t="s">
        <v>247</v>
      </c>
    </row>
    <row r="27" spans="2:2" ht="24">
      <c r="B27" s="153" t="s">
        <v>267</v>
      </c>
    </row>
    <row r="28" spans="2:2" ht="24">
      <c r="B28" s="153" t="s">
        <v>265</v>
      </c>
    </row>
    <row r="29" spans="2:2" ht="24">
      <c r="B29" s="153" t="s">
        <v>253</v>
      </c>
    </row>
    <row r="30" spans="2:2" ht="36">
      <c r="B30" s="153" t="s">
        <v>255</v>
      </c>
    </row>
    <row r="31" spans="2:2" ht="24">
      <c r="B31" s="153" t="s">
        <v>257</v>
      </c>
    </row>
    <row r="32" spans="2:2" ht="36">
      <c r="B32" s="153" t="s">
        <v>261</v>
      </c>
    </row>
    <row r="33" spans="2:2" ht="36">
      <c r="B33" s="153" t="s">
        <v>263</v>
      </c>
    </row>
    <row r="34" spans="2:2" ht="36">
      <c r="B34" s="153" t="s">
        <v>259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topLeftCell="A260" workbookViewId="0">
      <selection activeCell="A260" sqref="A260"/>
    </sheetView>
  </sheetViews>
  <sheetFormatPr defaultRowHeight="1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heetViews>
  <sheetFormatPr defaultRowHeight="1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topLeftCell="A13" workbookViewId="0"/>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RowHeight="1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BN69"/>
  <sheetViews>
    <sheetView view="pageBreakPreview" zoomScale="60" zoomScaleNormal="100" workbookViewId="0">
      <selection activeCell="B37" sqref="B37"/>
    </sheetView>
  </sheetViews>
  <sheetFormatPr defaultRowHeight="15"/>
  <cols>
    <col min="1" max="1" width="36.140625" bestFit="1" customWidth="1"/>
    <col min="2" max="3" width="36.140625" customWidth="1"/>
    <col min="4" max="4" width="11.85546875" bestFit="1" customWidth="1"/>
    <col min="5" max="5" width="11.28515625" bestFit="1" customWidth="1"/>
    <col min="6" max="8" width="11.85546875" bestFit="1" customWidth="1"/>
    <col min="9" max="9" width="11.28515625" bestFit="1" customWidth="1"/>
    <col min="10" max="12" width="11.85546875" bestFit="1" customWidth="1"/>
    <col min="13" max="13" width="11.28515625" bestFit="1" customWidth="1"/>
    <col min="14" max="16" width="11.85546875" bestFit="1" customWidth="1"/>
    <col min="17" max="17" width="11.28515625" bestFit="1" customWidth="1"/>
    <col min="18" max="23" width="11.85546875" bestFit="1" customWidth="1"/>
    <col min="24" max="25" width="11.28515625" bestFit="1" customWidth="1"/>
    <col min="26" max="26" width="11.85546875" bestFit="1" customWidth="1"/>
    <col min="27" max="28" width="15.140625" bestFit="1" customWidth="1"/>
    <col min="29" max="29" width="11.85546875" bestFit="1" customWidth="1"/>
    <col min="30" max="30" width="11.5703125" bestFit="1" customWidth="1"/>
    <col min="31" max="32" width="11.85546875" bestFit="1" customWidth="1"/>
    <col min="33" max="33" width="11.5703125" bestFit="1" customWidth="1"/>
    <col min="34" max="36" width="11.85546875" bestFit="1" customWidth="1"/>
    <col min="37" max="37" width="11.5703125" bestFit="1" customWidth="1"/>
    <col min="38" max="38" width="11.140625" bestFit="1" customWidth="1"/>
    <col min="39" max="39" width="11.5703125" bestFit="1" customWidth="1"/>
    <col min="40" max="41" width="11.140625" bestFit="1" customWidth="1"/>
    <col min="42" max="46" width="11.5703125" bestFit="1" customWidth="1"/>
    <col min="47" max="48" width="11.140625" bestFit="1" customWidth="1"/>
    <col min="49" max="49" width="11.5703125" bestFit="1" customWidth="1"/>
    <col min="50" max="50" width="11.140625" bestFit="1" customWidth="1"/>
    <col min="51" max="51" width="11.5703125" bestFit="1" customWidth="1"/>
    <col min="52" max="53" width="11.140625" bestFit="1" customWidth="1"/>
    <col min="54" max="55" width="16.5703125" bestFit="1" customWidth="1"/>
    <col min="56" max="65" width="11.5703125" bestFit="1" customWidth="1"/>
    <col min="66" max="66" width="11.85546875" bestFit="1" customWidth="1"/>
  </cols>
  <sheetData>
    <row r="2" spans="1:66">
      <c r="A2" t="s">
        <v>2482</v>
      </c>
    </row>
    <row r="3" spans="1:66">
      <c r="A3" t="s">
        <v>2480</v>
      </c>
      <c r="C3" t="s">
        <v>2485</v>
      </c>
      <c r="T3" s="663" t="s">
        <v>2480</v>
      </c>
      <c r="U3" s="663"/>
      <c r="V3" s="662" t="s">
        <v>2481</v>
      </c>
      <c r="W3" s="662"/>
      <c r="X3" s="662"/>
      <c r="Y3" s="662"/>
      <c r="Z3" s="662"/>
      <c r="AA3" s="661" t="s">
        <v>2423</v>
      </c>
      <c r="AB3" s="661"/>
      <c r="AC3" s="660" t="s">
        <v>2422</v>
      </c>
      <c r="AD3" s="660"/>
      <c r="AE3" s="660"/>
      <c r="AF3" s="660"/>
      <c r="AG3" s="660"/>
      <c r="AK3" s="659" t="s">
        <v>2481</v>
      </c>
      <c r="AL3" s="659"/>
      <c r="AM3" s="659"/>
      <c r="AN3" s="659"/>
      <c r="AO3" s="659"/>
      <c r="AP3" s="659"/>
      <c r="AQ3" s="659"/>
      <c r="AR3" s="659"/>
      <c r="AS3" s="659"/>
      <c r="AT3" s="659"/>
      <c r="AU3" s="659"/>
      <c r="AV3" s="659"/>
      <c r="AW3" s="659"/>
      <c r="AX3" s="659"/>
      <c r="AY3" s="659"/>
      <c r="AZ3" s="659"/>
      <c r="BA3" s="659"/>
      <c r="BB3" s="535" t="s">
        <v>2480</v>
      </c>
      <c r="BC3" s="535" t="s">
        <v>2480</v>
      </c>
    </row>
    <row r="4" spans="1:66">
      <c r="A4" t="s">
        <v>2476</v>
      </c>
      <c r="B4" t="s">
        <v>1614</v>
      </c>
      <c r="C4" t="s">
        <v>2484</v>
      </c>
      <c r="D4" s="524" t="s">
        <v>1971</v>
      </c>
      <c r="E4" s="524" t="s">
        <v>1971</v>
      </c>
      <c r="F4" s="524" t="s">
        <v>2477</v>
      </c>
      <c r="G4" s="524" t="s">
        <v>2477</v>
      </c>
      <c r="H4" s="524" t="s">
        <v>1971</v>
      </c>
      <c r="I4" s="524" t="s">
        <v>1971</v>
      </c>
      <c r="J4" s="524" t="s">
        <v>2477</v>
      </c>
      <c r="K4" s="524" t="s">
        <v>2478</v>
      </c>
      <c r="L4" s="524" t="s">
        <v>1971</v>
      </c>
      <c r="M4" s="524" t="s">
        <v>1971</v>
      </c>
      <c r="N4" s="524" t="s">
        <v>2477</v>
      </c>
      <c r="O4" s="524" t="s">
        <v>2478</v>
      </c>
      <c r="P4" s="524" t="s">
        <v>1971</v>
      </c>
      <c r="Q4" s="524" t="s">
        <v>1971</v>
      </c>
      <c r="R4" s="524" t="s">
        <v>2477</v>
      </c>
      <c r="S4" s="524" t="s">
        <v>2478</v>
      </c>
      <c r="T4" s="532"/>
      <c r="U4" s="532"/>
      <c r="V4" s="531"/>
      <c r="W4" s="531"/>
      <c r="X4" s="531"/>
      <c r="Y4" s="531"/>
      <c r="Z4" s="531"/>
      <c r="AA4" s="529"/>
      <c r="AB4" s="529"/>
      <c r="AC4" s="522"/>
      <c r="AD4" s="522"/>
      <c r="AE4" s="522"/>
      <c r="AF4" s="522"/>
      <c r="AG4" s="522"/>
      <c r="AH4" s="524" t="s">
        <v>1971</v>
      </c>
      <c r="AI4" s="524" t="s">
        <v>1971</v>
      </c>
      <c r="AJ4" s="524" t="s">
        <v>2477</v>
      </c>
      <c r="AK4" s="534"/>
      <c r="AL4" s="534"/>
      <c r="AM4" s="534"/>
      <c r="AN4" s="534"/>
      <c r="AO4" s="534"/>
      <c r="AP4" s="534"/>
      <c r="AQ4" s="534"/>
      <c r="AR4" s="534"/>
      <c r="AS4" s="534"/>
      <c r="AT4" s="534"/>
      <c r="AU4" s="534"/>
      <c r="AV4" s="534"/>
      <c r="AW4" s="534"/>
      <c r="AX4" s="534"/>
      <c r="AY4" s="534"/>
      <c r="AZ4" s="534"/>
      <c r="BA4" s="534"/>
      <c r="BB4" s="535"/>
      <c r="BC4" s="535"/>
      <c r="BD4" s="524" t="s">
        <v>1971</v>
      </c>
      <c r="BE4" s="524" t="s">
        <v>2477</v>
      </c>
      <c r="BF4" s="524" t="s">
        <v>2478</v>
      </c>
      <c r="BG4" s="524" t="s">
        <v>1971</v>
      </c>
      <c r="BH4" s="524" t="s">
        <v>2477</v>
      </c>
      <c r="BI4" s="524" t="s">
        <v>2478</v>
      </c>
      <c r="BJ4" s="524" t="s">
        <v>1971</v>
      </c>
      <c r="BK4" s="524" t="s">
        <v>2477</v>
      </c>
      <c r="BL4" s="524" t="s">
        <v>2478</v>
      </c>
      <c r="BM4" s="524" t="s">
        <v>2475</v>
      </c>
      <c r="BN4" s="524" t="s">
        <v>2479</v>
      </c>
    </row>
    <row r="5" spans="1:66">
      <c r="B5" t="str">
        <f t="array" ref="B5:C20">TRANSPOSE(D4:S5)</f>
        <v>B</v>
      </c>
      <c r="C5" t="str">
        <v>QDU-5370</v>
      </c>
      <c r="D5" t="s">
        <v>58</v>
      </c>
      <c r="E5" t="s">
        <v>60</v>
      </c>
      <c r="F5" t="s">
        <v>62</v>
      </c>
      <c r="G5" t="s">
        <v>64</v>
      </c>
      <c r="H5" t="s">
        <v>66</v>
      </c>
      <c r="I5" t="s">
        <v>68</v>
      </c>
      <c r="J5" t="s">
        <v>70</v>
      </c>
      <c r="K5" t="s">
        <v>72</v>
      </c>
      <c r="L5" t="s">
        <v>50</v>
      </c>
      <c r="M5" t="s">
        <v>52</v>
      </c>
      <c r="N5" t="s">
        <v>54</v>
      </c>
      <c r="O5" t="s">
        <v>56</v>
      </c>
      <c r="P5" t="s">
        <v>42</v>
      </c>
      <c r="Q5" t="s">
        <v>44</v>
      </c>
      <c r="R5" t="s">
        <v>46</v>
      </c>
      <c r="S5" t="s">
        <v>48</v>
      </c>
      <c r="T5" s="532" t="s">
        <v>76</v>
      </c>
      <c r="U5" s="532" t="s">
        <v>74</v>
      </c>
      <c r="V5" s="531" t="s">
        <v>82</v>
      </c>
      <c r="W5" s="531" t="s">
        <v>84</v>
      </c>
      <c r="X5" s="531" t="s">
        <v>86</v>
      </c>
      <c r="Y5" s="531" t="s">
        <v>88</v>
      </c>
      <c r="Z5" s="531" t="s">
        <v>90</v>
      </c>
      <c r="AA5" s="530" t="s">
        <v>106</v>
      </c>
      <c r="AB5" s="530" t="s">
        <v>108</v>
      </c>
      <c r="AC5" s="520" t="s">
        <v>110</v>
      </c>
      <c r="AD5" s="520" t="s">
        <v>112</v>
      </c>
      <c r="AE5" s="520" t="s">
        <v>114</v>
      </c>
      <c r="AF5" s="520" t="s">
        <v>116</v>
      </c>
      <c r="AG5" s="520" t="s">
        <v>118</v>
      </c>
      <c r="AH5" s="467" t="s">
        <v>94</v>
      </c>
      <c r="AI5" t="s">
        <v>96</v>
      </c>
      <c r="AJ5" t="s">
        <v>92</v>
      </c>
      <c r="AK5" s="534" t="s">
        <v>120</v>
      </c>
      <c r="AL5" s="534" t="s">
        <v>122</v>
      </c>
      <c r="AM5" s="534" t="s">
        <v>124</v>
      </c>
      <c r="AN5" s="534" t="s">
        <v>126</v>
      </c>
      <c r="AO5" s="534" t="s">
        <v>128</v>
      </c>
      <c r="AP5" s="534" t="s">
        <v>130</v>
      </c>
      <c r="AQ5" s="534" t="s">
        <v>132</v>
      </c>
      <c r="AR5" s="534" t="s">
        <v>144</v>
      </c>
      <c r="AS5" s="534" t="s">
        <v>146</v>
      </c>
      <c r="AT5" s="534" t="s">
        <v>148</v>
      </c>
      <c r="AU5" s="534" t="s">
        <v>150</v>
      </c>
      <c r="AV5" s="534" t="s">
        <v>152</v>
      </c>
      <c r="AW5" s="534" t="s">
        <v>160</v>
      </c>
      <c r="AX5" s="534" t="s">
        <v>162</v>
      </c>
      <c r="AY5" s="534" t="s">
        <v>164</v>
      </c>
      <c r="AZ5" s="534" t="s">
        <v>166</v>
      </c>
      <c r="BA5" s="534" t="s">
        <v>168</v>
      </c>
      <c r="BB5" s="535" t="s">
        <v>140</v>
      </c>
      <c r="BC5" s="535" t="s">
        <v>142</v>
      </c>
      <c r="BD5" t="s">
        <v>134</v>
      </c>
      <c r="BE5" t="s">
        <v>136</v>
      </c>
      <c r="BF5" t="s">
        <v>138</v>
      </c>
      <c r="BG5" t="s">
        <v>154</v>
      </c>
      <c r="BH5" t="s">
        <v>156</v>
      </c>
      <c r="BI5" t="s">
        <v>158</v>
      </c>
      <c r="BJ5" t="s">
        <v>170</v>
      </c>
      <c r="BK5" t="s">
        <v>172</v>
      </c>
      <c r="BL5" t="s">
        <v>174</v>
      </c>
      <c r="BM5" t="s">
        <v>176</v>
      </c>
      <c r="BN5" s="443" t="s">
        <v>78</v>
      </c>
    </row>
    <row r="6" spans="1:66">
      <c r="B6" t="str">
        <v>B</v>
      </c>
      <c r="C6" t="str">
        <v>QDU-5371</v>
      </c>
      <c r="D6" t="s">
        <v>16</v>
      </c>
      <c r="E6" t="s">
        <v>16</v>
      </c>
      <c r="F6" t="s">
        <v>16</v>
      </c>
      <c r="G6" t="s">
        <v>16</v>
      </c>
      <c r="H6" t="s">
        <v>16</v>
      </c>
      <c r="I6" t="s">
        <v>16</v>
      </c>
      <c r="J6" t="s">
        <v>16</v>
      </c>
      <c r="K6" t="s">
        <v>16</v>
      </c>
      <c r="L6" t="s">
        <v>16</v>
      </c>
      <c r="M6" t="s">
        <v>16</v>
      </c>
      <c r="N6" t="s">
        <v>16</v>
      </c>
      <c r="O6" t="s">
        <v>16</v>
      </c>
      <c r="P6" t="s">
        <v>16</v>
      </c>
      <c r="Q6" t="s">
        <v>16</v>
      </c>
      <c r="R6" t="s">
        <v>16</v>
      </c>
      <c r="S6" t="s">
        <v>16</v>
      </c>
      <c r="T6" s="532" t="s">
        <v>16</v>
      </c>
      <c r="U6" s="532" t="s">
        <v>16</v>
      </c>
      <c r="V6" s="531" t="s">
        <v>22</v>
      </c>
      <c r="W6" s="531" t="s">
        <v>22</v>
      </c>
      <c r="X6" s="531" t="s">
        <v>22</v>
      </c>
      <c r="Y6" s="531" t="s">
        <v>22</v>
      </c>
      <c r="Z6" s="531" t="s">
        <v>22</v>
      </c>
      <c r="AA6" s="528" t="s">
        <v>2423</v>
      </c>
      <c r="AB6" s="528" t="s">
        <v>2423</v>
      </c>
      <c r="AC6" s="525" t="s">
        <v>337</v>
      </c>
      <c r="AD6" s="526" t="s">
        <v>350</v>
      </c>
      <c r="AE6" s="526" t="s">
        <v>350</v>
      </c>
      <c r="AF6" s="526" t="s">
        <v>350</v>
      </c>
      <c r="AG6" s="526" t="s">
        <v>350</v>
      </c>
      <c r="AH6" t="s">
        <v>22</v>
      </c>
      <c r="AI6" t="s">
        <v>22</v>
      </c>
      <c r="AJ6" t="s">
        <v>22</v>
      </c>
      <c r="AK6" s="534" t="s">
        <v>22</v>
      </c>
      <c r="AL6" s="534" t="s">
        <v>22</v>
      </c>
      <c r="AM6" s="534" t="s">
        <v>22</v>
      </c>
      <c r="AN6" s="534" t="s">
        <v>22</v>
      </c>
      <c r="AO6" s="534" t="s">
        <v>22</v>
      </c>
      <c r="AP6" s="534" t="s">
        <v>22</v>
      </c>
      <c r="AQ6" s="534" t="s">
        <v>22</v>
      </c>
      <c r="AR6" s="534" t="s">
        <v>22</v>
      </c>
      <c r="AS6" s="534" t="s">
        <v>22</v>
      </c>
      <c r="AT6" s="534" t="s">
        <v>22</v>
      </c>
      <c r="AU6" s="534" t="s">
        <v>22</v>
      </c>
      <c r="AV6" s="534" t="s">
        <v>22</v>
      </c>
      <c r="AW6" s="534" t="s">
        <v>22</v>
      </c>
      <c r="AX6" s="534" t="s">
        <v>22</v>
      </c>
      <c r="AY6" s="534" t="s">
        <v>22</v>
      </c>
      <c r="AZ6" s="534" t="s">
        <v>22</v>
      </c>
      <c r="BA6" s="534" t="s">
        <v>22</v>
      </c>
      <c r="BB6" s="535" t="s">
        <v>2424</v>
      </c>
      <c r="BC6" s="535" t="s">
        <v>22</v>
      </c>
      <c r="BD6" t="s">
        <v>22</v>
      </c>
      <c r="BE6" t="s">
        <v>22</v>
      </c>
      <c r="BF6" s="509" t="s">
        <v>22</v>
      </c>
      <c r="BG6" t="s">
        <v>22</v>
      </c>
      <c r="BH6" t="s">
        <v>22</v>
      </c>
      <c r="BI6" t="s">
        <v>22</v>
      </c>
      <c r="BJ6" t="s">
        <v>22</v>
      </c>
      <c r="BK6" t="s">
        <v>22</v>
      </c>
      <c r="BL6" t="s">
        <v>22</v>
      </c>
      <c r="BM6" t="s">
        <v>22</v>
      </c>
      <c r="BN6" t="s">
        <v>16</v>
      </c>
    </row>
    <row r="7" spans="1:66">
      <c r="B7" t="str">
        <v>A</v>
      </c>
      <c r="C7" t="str">
        <v>QDU-5375</v>
      </c>
      <c r="T7" s="533"/>
      <c r="U7" s="533"/>
      <c r="V7" s="531" t="s">
        <v>20</v>
      </c>
      <c r="W7" s="531" t="s">
        <v>20</v>
      </c>
      <c r="X7" s="531" t="s">
        <v>20</v>
      </c>
      <c r="Y7" s="531" t="s">
        <v>20</v>
      </c>
      <c r="Z7" s="531" t="s">
        <v>20</v>
      </c>
      <c r="AA7" s="528"/>
      <c r="AB7" s="528"/>
      <c r="AC7" s="525" t="s">
        <v>335</v>
      </c>
      <c r="AD7" s="526" t="s">
        <v>351</v>
      </c>
      <c r="AE7" s="526" t="s">
        <v>351</v>
      </c>
      <c r="AF7" s="526" t="s">
        <v>351</v>
      </c>
      <c r="AG7" s="526" t="s">
        <v>351</v>
      </c>
      <c r="AH7" t="s">
        <v>20</v>
      </c>
      <c r="AI7" t="s">
        <v>20</v>
      </c>
      <c r="AJ7" t="s">
        <v>20</v>
      </c>
      <c r="AK7" s="534" t="s">
        <v>20</v>
      </c>
      <c r="AL7" s="534" t="s">
        <v>20</v>
      </c>
      <c r="AM7" s="534" t="s">
        <v>20</v>
      </c>
      <c r="AN7" s="534" t="s">
        <v>20</v>
      </c>
      <c r="AO7" s="534" t="s">
        <v>20</v>
      </c>
      <c r="AP7" s="534" t="s">
        <v>20</v>
      </c>
      <c r="AQ7" s="534" t="s">
        <v>20</v>
      </c>
      <c r="AR7" s="534" t="s">
        <v>20</v>
      </c>
      <c r="AS7" s="534" t="s">
        <v>20</v>
      </c>
      <c r="AT7" s="534" t="s">
        <v>20</v>
      </c>
      <c r="AU7" s="534" t="s">
        <v>20</v>
      </c>
      <c r="AV7" s="534" t="s">
        <v>20</v>
      </c>
      <c r="AW7" s="534" t="s">
        <v>20</v>
      </c>
      <c r="AX7" s="534" t="s">
        <v>20</v>
      </c>
      <c r="AY7" s="534" t="s">
        <v>20</v>
      </c>
      <c r="AZ7" s="534" t="s">
        <v>20</v>
      </c>
      <c r="BA7" s="534" t="s">
        <v>20</v>
      </c>
      <c r="BB7" s="535" t="s">
        <v>2425</v>
      </c>
      <c r="BC7" s="535" t="s">
        <v>20</v>
      </c>
      <c r="BD7" t="s">
        <v>20</v>
      </c>
      <c r="BE7" t="s">
        <v>20</v>
      </c>
      <c r="BF7" s="509" t="s">
        <v>20</v>
      </c>
      <c r="BG7" t="s">
        <v>20</v>
      </c>
      <c r="BH7" t="s">
        <v>20</v>
      </c>
      <c r="BI7" t="s">
        <v>20</v>
      </c>
      <c r="BJ7" t="s">
        <v>20</v>
      </c>
      <c r="BK7" t="s">
        <v>20</v>
      </c>
      <c r="BL7" t="s">
        <v>20</v>
      </c>
      <c r="BM7" t="s">
        <v>20</v>
      </c>
    </row>
    <row r="8" spans="1:66">
      <c r="B8" t="str">
        <v>A</v>
      </c>
      <c r="C8" t="str">
        <v>QDU-5379</v>
      </c>
      <c r="T8" s="533"/>
      <c r="U8" s="533"/>
      <c r="V8" s="531" t="s">
        <v>16</v>
      </c>
      <c r="W8" s="531" t="s">
        <v>16</v>
      </c>
      <c r="X8" s="531" t="s">
        <v>16</v>
      </c>
      <c r="Y8" s="531" t="s">
        <v>16</v>
      </c>
      <c r="Z8" s="531" t="s">
        <v>16</v>
      </c>
      <c r="AA8" s="528"/>
      <c r="AB8" s="528"/>
      <c r="AC8" s="525" t="s">
        <v>285</v>
      </c>
      <c r="AD8" s="526" t="s">
        <v>352</v>
      </c>
      <c r="AE8" s="526" t="s">
        <v>352</v>
      </c>
      <c r="AF8" s="526" t="s">
        <v>352</v>
      </c>
      <c r="AG8" s="526" t="s">
        <v>352</v>
      </c>
      <c r="AH8" t="s">
        <v>16</v>
      </c>
      <c r="AI8" t="s">
        <v>16</v>
      </c>
      <c r="AJ8" t="s">
        <v>16</v>
      </c>
      <c r="AK8" s="534" t="s">
        <v>16</v>
      </c>
      <c r="AL8" s="534" t="s">
        <v>16</v>
      </c>
      <c r="AM8" s="534" t="s">
        <v>16</v>
      </c>
      <c r="AN8" s="534" t="s">
        <v>16</v>
      </c>
      <c r="AO8" s="534" t="s">
        <v>16</v>
      </c>
      <c r="AP8" s="534" t="s">
        <v>16</v>
      </c>
      <c r="AQ8" s="534" t="s">
        <v>16</v>
      </c>
      <c r="AR8" s="534" t="s">
        <v>16</v>
      </c>
      <c r="AS8" s="534" t="s">
        <v>16</v>
      </c>
      <c r="AT8" s="534" t="s">
        <v>16</v>
      </c>
      <c r="AU8" s="534" t="s">
        <v>16</v>
      </c>
      <c r="AV8" s="534" t="s">
        <v>16</v>
      </c>
      <c r="AW8" s="534" t="s">
        <v>16</v>
      </c>
      <c r="AX8" s="534" t="s">
        <v>16</v>
      </c>
      <c r="AY8" s="534" t="s">
        <v>16</v>
      </c>
      <c r="AZ8" s="534" t="s">
        <v>16</v>
      </c>
      <c r="BA8" s="534" t="s">
        <v>16</v>
      </c>
      <c r="BB8" s="535"/>
      <c r="BC8" s="535"/>
    </row>
    <row r="9" spans="1:66">
      <c r="B9" t="str">
        <v>B</v>
      </c>
      <c r="C9" t="str">
        <v>QDU-5470</v>
      </c>
      <c r="T9" s="533"/>
      <c r="U9" s="533"/>
      <c r="V9" s="531" t="s">
        <v>18</v>
      </c>
      <c r="W9" s="531" t="s">
        <v>18</v>
      </c>
      <c r="X9" s="531" t="s">
        <v>18</v>
      </c>
      <c r="Y9" s="531" t="s">
        <v>18</v>
      </c>
      <c r="Z9" s="531" t="s">
        <v>18</v>
      </c>
      <c r="AA9" s="528"/>
      <c r="AB9" s="528"/>
      <c r="AC9" s="525" t="s">
        <v>283</v>
      </c>
      <c r="AD9" s="526" t="s">
        <v>355</v>
      </c>
      <c r="AE9" s="526" t="s">
        <v>355</v>
      </c>
      <c r="AF9" s="526" t="s">
        <v>355</v>
      </c>
      <c r="AG9" s="526" t="s">
        <v>355</v>
      </c>
      <c r="AK9" s="534" t="s">
        <v>18</v>
      </c>
      <c r="AL9" s="534" t="s">
        <v>18</v>
      </c>
      <c r="AM9" s="534" t="s">
        <v>18</v>
      </c>
      <c r="AN9" s="534" t="s">
        <v>18</v>
      </c>
      <c r="AO9" s="534" t="s">
        <v>18</v>
      </c>
      <c r="AP9" s="534" t="s">
        <v>18</v>
      </c>
      <c r="AQ9" s="534" t="s">
        <v>18</v>
      </c>
      <c r="AR9" s="534" t="s">
        <v>18</v>
      </c>
      <c r="AS9" s="534" t="s">
        <v>18</v>
      </c>
      <c r="AT9" s="534" t="s">
        <v>18</v>
      </c>
      <c r="AU9" s="534" t="s">
        <v>18</v>
      </c>
      <c r="AV9" s="534" t="s">
        <v>18</v>
      </c>
      <c r="AW9" s="534" t="s">
        <v>18</v>
      </c>
      <c r="AX9" s="534" t="s">
        <v>18</v>
      </c>
      <c r="AY9" s="534" t="s">
        <v>18</v>
      </c>
      <c r="AZ9" s="534" t="s">
        <v>18</v>
      </c>
      <c r="BA9" s="534" t="s">
        <v>18</v>
      </c>
      <c r="BB9" s="535"/>
      <c r="BC9" s="535"/>
    </row>
    <row r="10" spans="1:66">
      <c r="B10" t="str">
        <v>B</v>
      </c>
      <c r="C10" t="str">
        <v>QDU-5471</v>
      </c>
      <c r="T10" s="533"/>
      <c r="U10" s="533"/>
      <c r="V10" s="531"/>
      <c r="W10" s="531"/>
      <c r="X10" s="531"/>
      <c r="Y10" s="531"/>
      <c r="Z10" s="531"/>
      <c r="AA10" s="528"/>
      <c r="AB10" s="528"/>
      <c r="AC10" s="525" t="s">
        <v>383</v>
      </c>
      <c r="AD10" s="526" t="s">
        <v>353</v>
      </c>
      <c r="AE10" s="526" t="s">
        <v>353</v>
      </c>
      <c r="AF10" s="526" t="s">
        <v>353</v>
      </c>
      <c r="AG10" s="526" t="s">
        <v>353</v>
      </c>
      <c r="AK10" s="534"/>
      <c r="AL10" s="534"/>
      <c r="AM10" s="534"/>
      <c r="AN10" s="534"/>
      <c r="AO10" s="534"/>
      <c r="AP10" s="534"/>
      <c r="AQ10" s="534"/>
      <c r="AR10" s="534"/>
      <c r="AS10" s="534"/>
      <c r="AT10" s="534"/>
      <c r="AU10" s="534"/>
      <c r="AV10" s="534"/>
      <c r="AW10" s="534"/>
      <c r="AX10" s="534"/>
      <c r="AY10" s="534"/>
      <c r="AZ10" s="534"/>
      <c r="BA10" s="534"/>
      <c r="BB10" s="535"/>
      <c r="BC10" s="535"/>
    </row>
    <row r="11" spans="1:66">
      <c r="B11" t="str">
        <v>A</v>
      </c>
      <c r="C11" t="str">
        <v>QDU-5475</v>
      </c>
      <c r="T11" s="533"/>
      <c r="U11" s="533"/>
      <c r="V11" s="531"/>
      <c r="W11" s="531"/>
      <c r="X11" s="531"/>
      <c r="Y11" s="531"/>
      <c r="Z11" s="531"/>
      <c r="AA11" s="528"/>
      <c r="AB11" s="528"/>
      <c r="AC11" s="525" t="s">
        <v>381</v>
      </c>
      <c r="AD11" s="526" t="s">
        <v>357</v>
      </c>
      <c r="AE11" s="526" t="s">
        <v>357</v>
      </c>
      <c r="AF11" s="526" t="s">
        <v>357</v>
      </c>
      <c r="AG11" s="526" t="s">
        <v>357</v>
      </c>
      <c r="AK11" s="534"/>
      <c r="AL11" s="534"/>
      <c r="AM11" s="534"/>
      <c r="AN11" s="534"/>
      <c r="AO11" s="534"/>
      <c r="AP11" s="534"/>
      <c r="AQ11" s="534"/>
      <c r="AR11" s="534"/>
      <c r="AS11" s="534"/>
      <c r="AT11" s="534"/>
      <c r="AU11" s="534"/>
      <c r="AV11" s="534"/>
      <c r="AW11" s="534"/>
      <c r="AX11" s="534"/>
      <c r="AY11" s="534"/>
      <c r="AZ11" s="534"/>
      <c r="BA11" s="534"/>
      <c r="BB11" s="535"/>
      <c r="BC11" s="535"/>
    </row>
    <row r="12" spans="1:66">
      <c r="B12" t="str">
        <v>C</v>
      </c>
      <c r="C12" t="str">
        <v>QDU-5479</v>
      </c>
      <c r="T12" s="533"/>
      <c r="U12" s="533"/>
      <c r="V12" s="531"/>
      <c r="W12" s="531"/>
      <c r="X12" s="531"/>
      <c r="Y12" s="531"/>
      <c r="Z12" s="531"/>
      <c r="AA12" s="528"/>
      <c r="AB12" s="528"/>
      <c r="AC12" s="525"/>
      <c r="AD12" s="526" t="s">
        <v>359</v>
      </c>
      <c r="AE12" s="526" t="s">
        <v>359</v>
      </c>
      <c r="AF12" s="526" t="s">
        <v>359</v>
      </c>
      <c r="AG12" s="526" t="s">
        <v>359</v>
      </c>
      <c r="AK12" s="534"/>
      <c r="AL12" s="534"/>
      <c r="AM12" s="534"/>
      <c r="AN12" s="534"/>
      <c r="AO12" s="534"/>
      <c r="AP12" s="534"/>
      <c r="AQ12" s="534"/>
      <c r="AR12" s="534"/>
      <c r="AS12" s="534"/>
      <c r="AT12" s="534"/>
      <c r="AU12" s="534"/>
      <c r="AV12" s="534"/>
      <c r="AW12" s="534"/>
      <c r="AX12" s="534"/>
      <c r="AY12" s="534"/>
      <c r="AZ12" s="534"/>
      <c r="BA12" s="534"/>
      <c r="BB12" s="535"/>
      <c r="BC12" s="535"/>
    </row>
    <row r="13" spans="1:66">
      <c r="B13" t="str">
        <v>B</v>
      </c>
      <c r="C13" t="str">
        <v>QDU-5670</v>
      </c>
      <c r="T13" s="533"/>
      <c r="U13" s="533"/>
      <c r="V13" s="531"/>
      <c r="W13" s="531"/>
      <c r="X13" s="531"/>
      <c r="Y13" s="531"/>
      <c r="Z13" s="531"/>
      <c r="AA13" s="528"/>
      <c r="AB13" s="528"/>
      <c r="AC13" s="525"/>
      <c r="AD13" s="526" t="s">
        <v>356</v>
      </c>
      <c r="AE13" s="526" t="s">
        <v>356</v>
      </c>
      <c r="AF13" s="526" t="s">
        <v>356</v>
      </c>
      <c r="AG13" s="526" t="s">
        <v>356</v>
      </c>
      <c r="AK13" s="534"/>
      <c r="AL13" s="534"/>
      <c r="AM13" s="534"/>
      <c r="AN13" s="534"/>
      <c r="AO13" s="534"/>
      <c r="AP13" s="534"/>
      <c r="AQ13" s="534"/>
      <c r="AR13" s="534"/>
      <c r="AS13" s="534"/>
      <c r="AT13" s="534"/>
      <c r="AU13" s="534"/>
      <c r="AV13" s="534"/>
      <c r="AW13" s="534"/>
      <c r="AX13" s="534"/>
      <c r="AY13" s="534"/>
      <c r="AZ13" s="534"/>
      <c r="BA13" s="534"/>
      <c r="BB13" s="535"/>
      <c r="BC13" s="535"/>
    </row>
    <row r="14" spans="1:66">
      <c r="B14" t="str">
        <v>B</v>
      </c>
      <c r="C14" t="str">
        <v>QDU-5671</v>
      </c>
      <c r="T14" s="533"/>
      <c r="U14" s="533"/>
      <c r="V14" s="531"/>
      <c r="W14" s="531"/>
      <c r="X14" s="531"/>
      <c r="Y14" s="531"/>
      <c r="Z14" s="531"/>
      <c r="AA14" s="528"/>
      <c r="AB14" s="528"/>
      <c r="AC14" s="525"/>
      <c r="AD14" s="526" t="s">
        <v>360</v>
      </c>
      <c r="AE14" s="526" t="s">
        <v>360</v>
      </c>
      <c r="AF14" s="526" t="s">
        <v>360</v>
      </c>
      <c r="AG14" s="526" t="s">
        <v>360</v>
      </c>
      <c r="AK14" s="534"/>
      <c r="AL14" s="534"/>
      <c r="AM14" s="534"/>
      <c r="AN14" s="534"/>
      <c r="AO14" s="534"/>
      <c r="AP14" s="534"/>
      <c r="AQ14" s="534"/>
      <c r="AR14" s="534"/>
      <c r="AS14" s="534"/>
      <c r="AT14" s="534"/>
      <c r="AU14" s="534"/>
      <c r="AV14" s="534"/>
      <c r="AW14" s="534"/>
      <c r="AX14" s="534"/>
      <c r="AY14" s="534"/>
      <c r="AZ14" s="534"/>
      <c r="BA14" s="534"/>
      <c r="BB14" s="535"/>
      <c r="BC14" s="535"/>
    </row>
    <row r="15" spans="1:66">
      <c r="B15" t="str">
        <v>A</v>
      </c>
      <c r="C15" t="str">
        <v>QDU-5675</v>
      </c>
      <c r="T15" s="533"/>
      <c r="U15" s="533"/>
      <c r="V15" s="531"/>
      <c r="W15" s="531"/>
      <c r="X15" s="531"/>
      <c r="Y15" s="531"/>
      <c r="Z15" s="531"/>
      <c r="AA15" s="528"/>
      <c r="AB15" s="528"/>
      <c r="AC15" s="525"/>
      <c r="AD15" s="526" t="s">
        <v>362</v>
      </c>
      <c r="AE15" s="526" t="s">
        <v>362</v>
      </c>
      <c r="AF15" s="526" t="s">
        <v>362</v>
      </c>
      <c r="AG15" s="526" t="s">
        <v>362</v>
      </c>
      <c r="AK15" s="534"/>
      <c r="AL15" s="534"/>
      <c r="AM15" s="534"/>
      <c r="AN15" s="534"/>
      <c r="AO15" s="534"/>
      <c r="AP15" s="534"/>
      <c r="AQ15" s="534"/>
      <c r="AR15" s="534"/>
      <c r="AS15" s="534"/>
      <c r="AT15" s="534"/>
      <c r="AU15" s="534"/>
      <c r="AV15" s="534"/>
      <c r="AW15" s="534"/>
      <c r="AX15" s="534"/>
      <c r="AY15" s="534"/>
      <c r="AZ15" s="534"/>
      <c r="BA15" s="534"/>
      <c r="BB15" s="535"/>
      <c r="BC15" s="535"/>
    </row>
    <row r="16" spans="1:66">
      <c r="B16" t="str">
        <v>C</v>
      </c>
      <c r="C16" t="str">
        <v>QDU-5679</v>
      </c>
      <c r="T16" s="533"/>
      <c r="U16" s="533"/>
      <c r="V16" s="531"/>
      <c r="W16" s="531"/>
      <c r="X16" s="531"/>
      <c r="Y16" s="531"/>
      <c r="Z16" s="531"/>
      <c r="AA16" s="528"/>
      <c r="AB16" s="528"/>
      <c r="AC16" s="525"/>
      <c r="AD16" s="526" t="s">
        <v>311</v>
      </c>
      <c r="AE16" s="526" t="s">
        <v>311</v>
      </c>
      <c r="AF16" s="526" t="s">
        <v>311</v>
      </c>
      <c r="AG16" s="526" t="s">
        <v>311</v>
      </c>
      <c r="AK16" s="534"/>
      <c r="AL16" s="534"/>
      <c r="AM16" s="534"/>
      <c r="AN16" s="534"/>
      <c r="AO16" s="534"/>
      <c r="AP16" s="534"/>
      <c r="AQ16" s="534"/>
      <c r="AR16" s="534"/>
      <c r="AS16" s="534"/>
      <c r="AT16" s="534"/>
      <c r="AU16" s="534"/>
      <c r="AV16" s="534"/>
      <c r="AW16" s="534"/>
      <c r="AX16" s="534"/>
      <c r="AY16" s="534"/>
      <c r="AZ16" s="534"/>
      <c r="BA16" s="534"/>
      <c r="BB16" s="535"/>
      <c r="BC16" s="535"/>
    </row>
    <row r="17" spans="2:55">
      <c r="B17" t="str">
        <v>B</v>
      </c>
      <c r="C17" t="str">
        <v>QDU-5870</v>
      </c>
      <c r="T17" s="533"/>
      <c r="U17" s="533"/>
      <c r="V17" s="531"/>
      <c r="W17" s="531"/>
      <c r="X17" s="531"/>
      <c r="Y17" s="531"/>
      <c r="Z17" s="531"/>
      <c r="AA17" s="528"/>
      <c r="AB17" s="528"/>
      <c r="AC17" s="525"/>
      <c r="AD17" s="526" t="s">
        <v>313</v>
      </c>
      <c r="AE17" s="526" t="s">
        <v>313</v>
      </c>
      <c r="AF17" s="526" t="s">
        <v>313</v>
      </c>
      <c r="AG17" s="526" t="s">
        <v>313</v>
      </c>
      <c r="AK17" s="534"/>
      <c r="AL17" s="534"/>
      <c r="AM17" s="534"/>
      <c r="AN17" s="534"/>
      <c r="AO17" s="534"/>
      <c r="AP17" s="534"/>
      <c r="AQ17" s="534"/>
      <c r="AR17" s="534"/>
      <c r="AS17" s="534"/>
      <c r="AT17" s="534"/>
      <c r="AU17" s="534"/>
      <c r="AV17" s="534"/>
      <c r="AW17" s="534"/>
      <c r="AX17" s="534"/>
      <c r="AY17" s="534"/>
      <c r="AZ17" s="534"/>
      <c r="BA17" s="534"/>
      <c r="BB17" s="535"/>
      <c r="BC17" s="535"/>
    </row>
    <row r="18" spans="2:55">
      <c r="B18" t="str">
        <v>B</v>
      </c>
      <c r="C18" t="str">
        <v>QDU-5871</v>
      </c>
      <c r="T18" s="533"/>
      <c r="U18" s="533"/>
      <c r="V18" s="531"/>
      <c r="W18" s="531"/>
      <c r="X18" s="531"/>
      <c r="Y18" s="531"/>
      <c r="Z18" s="531"/>
      <c r="AA18" s="528"/>
      <c r="AB18" s="528"/>
      <c r="AC18" s="525"/>
      <c r="AD18" s="526" t="s">
        <v>315</v>
      </c>
      <c r="AE18" s="526" t="s">
        <v>315</v>
      </c>
      <c r="AF18" s="526" t="s">
        <v>315</v>
      </c>
      <c r="AG18" s="526" t="s">
        <v>315</v>
      </c>
      <c r="AK18" s="534"/>
      <c r="AL18" s="534"/>
      <c r="AM18" s="534"/>
      <c r="AN18" s="534"/>
      <c r="AO18" s="534"/>
      <c r="AP18" s="534"/>
      <c r="AQ18" s="534"/>
      <c r="AR18" s="534"/>
      <c r="AS18" s="534"/>
      <c r="AT18" s="534"/>
      <c r="AU18" s="534"/>
      <c r="AV18" s="534"/>
      <c r="AW18" s="534"/>
      <c r="AX18" s="534"/>
      <c r="AY18" s="534"/>
      <c r="AZ18" s="534"/>
      <c r="BA18" s="534"/>
      <c r="BB18" s="535"/>
      <c r="BC18" s="535"/>
    </row>
    <row r="19" spans="2:55">
      <c r="B19" t="str">
        <v>A</v>
      </c>
      <c r="C19" t="str">
        <v>QDU-5875</v>
      </c>
      <c r="T19" s="533"/>
      <c r="U19" s="533"/>
      <c r="V19" s="531"/>
      <c r="W19" s="531"/>
      <c r="X19" s="531"/>
      <c r="Y19" s="531"/>
      <c r="Z19" s="531"/>
      <c r="AA19" s="528"/>
      <c r="AB19" s="528"/>
      <c r="AC19" s="525"/>
      <c r="AD19" s="526" t="s">
        <v>317</v>
      </c>
      <c r="AE19" s="526" t="s">
        <v>317</v>
      </c>
      <c r="AF19" s="526" t="s">
        <v>317</v>
      </c>
      <c r="AG19" s="526" t="s">
        <v>317</v>
      </c>
      <c r="AK19" s="534"/>
      <c r="AL19" s="534"/>
      <c r="AM19" s="534"/>
      <c r="AN19" s="534"/>
      <c r="AO19" s="534"/>
      <c r="AP19" s="534"/>
      <c r="AQ19" s="534"/>
      <c r="AR19" s="534"/>
      <c r="AS19" s="534"/>
      <c r="AT19" s="534"/>
      <c r="AU19" s="534"/>
      <c r="AV19" s="534"/>
      <c r="AW19" s="534"/>
      <c r="AX19" s="534"/>
      <c r="AY19" s="534"/>
      <c r="AZ19" s="534"/>
      <c r="BA19" s="534"/>
      <c r="BB19" s="535"/>
      <c r="BC19" s="535"/>
    </row>
    <row r="20" spans="2:55">
      <c r="B20" t="str">
        <v>C</v>
      </c>
      <c r="C20" t="str">
        <v>QDU-5879</v>
      </c>
      <c r="T20" s="533"/>
      <c r="U20" s="533"/>
      <c r="V20" s="531"/>
      <c r="W20" s="531"/>
      <c r="X20" s="531"/>
      <c r="Y20" s="531"/>
      <c r="Z20" s="531"/>
      <c r="AA20" s="528"/>
      <c r="AB20" s="528"/>
      <c r="AC20" s="525"/>
      <c r="AD20" s="526" t="s">
        <v>319</v>
      </c>
      <c r="AE20" s="526" t="s">
        <v>319</v>
      </c>
      <c r="AF20" s="526" t="s">
        <v>319</v>
      </c>
      <c r="AG20" s="526" t="s">
        <v>319</v>
      </c>
      <c r="AK20" s="534"/>
      <c r="AL20" s="534"/>
      <c r="AM20" s="534"/>
      <c r="AN20" s="534"/>
      <c r="AO20" s="534"/>
      <c r="AP20" s="534"/>
      <c r="AQ20" s="534"/>
      <c r="AR20" s="534"/>
      <c r="AS20" s="534"/>
      <c r="AT20" s="534"/>
      <c r="AU20" s="534"/>
      <c r="AV20" s="534"/>
      <c r="AW20" s="534"/>
      <c r="AX20" s="534"/>
      <c r="AY20" s="534"/>
      <c r="AZ20" s="534"/>
      <c r="BA20" s="534"/>
      <c r="BB20" s="535"/>
      <c r="BC20" s="535"/>
    </row>
    <row r="21" spans="2:55">
      <c r="B21" t="str">
        <f t="array" ref="B21:C23">TRANSPOSE(AH4:AJ5)</f>
        <v>B</v>
      </c>
      <c r="C21" t="str">
        <v>BDS-2570</v>
      </c>
      <c r="T21" s="533"/>
      <c r="U21" s="533"/>
      <c r="V21" s="531"/>
      <c r="W21" s="531"/>
      <c r="X21" s="531"/>
      <c r="Y21" s="531"/>
      <c r="Z21" s="531"/>
      <c r="AA21" s="528"/>
      <c r="AB21" s="528"/>
      <c r="AC21" s="525"/>
      <c r="AD21" s="526" t="s">
        <v>321</v>
      </c>
      <c r="AE21" s="526" t="s">
        <v>321</v>
      </c>
      <c r="AF21" s="526" t="s">
        <v>321</v>
      </c>
      <c r="AG21" s="526" t="s">
        <v>321</v>
      </c>
      <c r="AK21" s="534"/>
      <c r="AL21" s="534"/>
      <c r="AM21" s="534"/>
      <c r="AN21" s="534"/>
      <c r="AO21" s="534"/>
      <c r="AP21" s="534"/>
      <c r="AQ21" s="534"/>
      <c r="AR21" s="534"/>
      <c r="AS21" s="534"/>
      <c r="AT21" s="534"/>
      <c r="AU21" s="534"/>
      <c r="AV21" s="534"/>
      <c r="AW21" s="534"/>
      <c r="AX21" s="534"/>
      <c r="AY21" s="534"/>
      <c r="AZ21" s="534"/>
      <c r="BA21" s="534"/>
      <c r="BB21" s="535"/>
      <c r="BC21" s="535"/>
    </row>
    <row r="22" spans="2:55">
      <c r="B22" t="str">
        <v>B</v>
      </c>
      <c r="C22" t="str">
        <v>BDS-2572</v>
      </c>
      <c r="T22" s="533"/>
      <c r="U22" s="533"/>
      <c r="V22" s="531"/>
      <c r="W22" s="531"/>
      <c r="X22" s="531"/>
      <c r="Y22" s="531"/>
      <c r="Z22" s="531"/>
      <c r="AA22" s="528"/>
      <c r="AB22" s="528"/>
      <c r="AC22" s="525"/>
      <c r="AD22" s="526" t="s">
        <v>323</v>
      </c>
      <c r="AE22" s="526" t="s">
        <v>323</v>
      </c>
      <c r="AF22" s="526" t="s">
        <v>323</v>
      </c>
      <c r="AG22" s="526" t="s">
        <v>323</v>
      </c>
      <c r="AK22" s="534"/>
      <c r="AL22" s="534"/>
      <c r="AM22" s="534"/>
      <c r="AN22" s="534"/>
      <c r="AO22" s="534"/>
      <c r="AP22" s="534"/>
      <c r="AQ22" s="534"/>
      <c r="AR22" s="534"/>
      <c r="AS22" s="534"/>
      <c r="AT22" s="534"/>
      <c r="AU22" s="534"/>
      <c r="AV22" s="534"/>
      <c r="AW22" s="534"/>
      <c r="AX22" s="534"/>
      <c r="AY22" s="534"/>
      <c r="AZ22" s="534"/>
      <c r="BA22" s="534"/>
      <c r="BB22" s="535"/>
      <c r="BC22" s="535"/>
    </row>
    <row r="23" spans="2:55">
      <c r="B23" t="str">
        <v>A</v>
      </c>
      <c r="C23" t="str">
        <v>BDS-2575</v>
      </c>
      <c r="T23" s="533"/>
      <c r="U23" s="533"/>
      <c r="V23" s="531"/>
      <c r="W23" s="531"/>
      <c r="X23" s="531"/>
      <c r="Y23" s="531"/>
      <c r="Z23" s="531"/>
      <c r="AA23" s="528"/>
      <c r="AB23" s="528"/>
      <c r="AC23" s="525"/>
      <c r="AD23" s="526" t="s">
        <v>325</v>
      </c>
      <c r="AE23" s="526" t="s">
        <v>325</v>
      </c>
      <c r="AF23" s="526" t="s">
        <v>325</v>
      </c>
      <c r="AG23" s="526" t="s">
        <v>325</v>
      </c>
      <c r="AK23" s="534"/>
      <c r="AL23" s="534"/>
      <c r="AM23" s="534"/>
      <c r="AN23" s="534"/>
      <c r="AO23" s="534"/>
      <c r="AP23" s="534"/>
      <c r="AQ23" s="534"/>
      <c r="AR23" s="534"/>
      <c r="AS23" s="534"/>
      <c r="AT23" s="534"/>
      <c r="AU23" s="534"/>
      <c r="AV23" s="534"/>
      <c r="AW23" s="534"/>
      <c r="AX23" s="534"/>
      <c r="AY23" s="534"/>
      <c r="AZ23" s="534"/>
      <c r="BA23" s="534"/>
      <c r="BB23" s="535"/>
      <c r="BC23" s="535"/>
    </row>
    <row r="24" spans="2:55">
      <c r="B24" t="str">
        <f t="array" ref="B24:C34">TRANSPOSE(BD4:BN5)</f>
        <v>B</v>
      </c>
      <c r="C24" t="str">
        <v>EDS-0570</v>
      </c>
      <c r="T24" s="533"/>
      <c r="U24" s="533"/>
      <c r="V24" s="531"/>
      <c r="W24" s="531"/>
      <c r="X24" s="531"/>
      <c r="Y24" s="531"/>
      <c r="Z24" s="531"/>
      <c r="AA24" s="528"/>
      <c r="AB24" s="528"/>
      <c r="AC24" s="525"/>
      <c r="AD24" s="527" t="s">
        <v>10</v>
      </c>
      <c r="AE24" s="527" t="s">
        <v>10</v>
      </c>
      <c r="AF24" s="527" t="s">
        <v>10</v>
      </c>
      <c r="AG24" s="527" t="s">
        <v>10</v>
      </c>
      <c r="AK24" s="534"/>
      <c r="AL24" s="534"/>
      <c r="AM24" s="534"/>
      <c r="AN24" s="534"/>
      <c r="AO24" s="534"/>
      <c r="AP24" s="534"/>
      <c r="AQ24" s="534"/>
      <c r="AR24" s="534"/>
      <c r="AS24" s="534"/>
      <c r="AT24" s="534"/>
      <c r="AU24" s="534"/>
      <c r="AV24" s="534"/>
      <c r="AW24" s="534"/>
      <c r="AX24" s="534"/>
      <c r="AY24" s="534"/>
      <c r="AZ24" s="534"/>
      <c r="BA24" s="534"/>
      <c r="BB24" s="535"/>
      <c r="BC24" s="535"/>
    </row>
    <row r="25" spans="2:55">
      <c r="B25" t="str">
        <v>A</v>
      </c>
      <c r="C25" t="str">
        <v>EDS-0575</v>
      </c>
      <c r="T25" s="533"/>
      <c r="U25" s="533"/>
      <c r="V25" s="531"/>
      <c r="W25" s="531"/>
      <c r="X25" s="531"/>
      <c r="Y25" s="531"/>
      <c r="Z25" s="531"/>
      <c r="AA25" s="528"/>
      <c r="AB25" s="528"/>
      <c r="AC25" s="525"/>
      <c r="AD25" s="527" t="s">
        <v>396</v>
      </c>
      <c r="AE25" s="527" t="s">
        <v>396</v>
      </c>
      <c r="AF25" s="527" t="s">
        <v>396</v>
      </c>
      <c r="AG25" s="527" t="s">
        <v>396</v>
      </c>
      <c r="AK25" s="534"/>
      <c r="AL25" s="534"/>
      <c r="AM25" s="534"/>
      <c r="AN25" s="534"/>
      <c r="AO25" s="534"/>
      <c r="AP25" s="534"/>
      <c r="AQ25" s="534"/>
      <c r="AR25" s="534"/>
      <c r="AS25" s="534"/>
      <c r="AT25" s="534"/>
      <c r="AU25" s="534"/>
      <c r="AV25" s="534"/>
      <c r="AW25" s="534"/>
      <c r="AX25" s="534"/>
      <c r="AY25" s="534"/>
      <c r="AZ25" s="534"/>
      <c r="BA25" s="534"/>
      <c r="BB25" s="535"/>
      <c r="BC25" s="535"/>
    </row>
    <row r="26" spans="2:55">
      <c r="B26" t="str">
        <v>C</v>
      </c>
      <c r="C26" t="str">
        <v>EDS-0579</v>
      </c>
    </row>
    <row r="27" spans="2:55">
      <c r="B27" t="str">
        <v>B</v>
      </c>
      <c r="C27" t="str">
        <v>EDS-0670</v>
      </c>
    </row>
    <row r="28" spans="2:55">
      <c r="B28" t="str">
        <v>A</v>
      </c>
      <c r="C28" t="str">
        <v>EDS-0675</v>
      </c>
    </row>
    <row r="29" spans="2:55">
      <c r="B29" t="str">
        <v>C</v>
      </c>
      <c r="C29" t="str">
        <v>EDS-0679</v>
      </c>
    </row>
    <row r="30" spans="2:55">
      <c r="B30" t="str">
        <v>B</v>
      </c>
      <c r="C30" t="str">
        <v>EDS-0770</v>
      </c>
    </row>
    <row r="31" spans="2:55">
      <c r="B31" t="str">
        <v>A</v>
      </c>
      <c r="C31" t="str">
        <v>EDS-0775</v>
      </c>
    </row>
    <row r="32" spans="2:55">
      <c r="B32" t="str">
        <v>C</v>
      </c>
      <c r="C32" t="str">
        <v>EDS-0779</v>
      </c>
    </row>
    <row r="33" spans="2:3">
      <c r="B33" t="str">
        <v>F</v>
      </c>
      <c r="C33" t="str">
        <v>EDS-3090</v>
      </c>
    </row>
    <row r="34" spans="2:3">
      <c r="B34" t="str">
        <v>E</v>
      </c>
      <c r="C34" t="str">
        <v>QDU-5690</v>
      </c>
    </row>
    <row r="35" spans="2:3">
      <c r="B35" t="s">
        <v>1956</v>
      </c>
      <c r="C35" t="s">
        <v>214</v>
      </c>
    </row>
    <row r="36" spans="2:3">
      <c r="B36" t="s">
        <v>1956</v>
      </c>
      <c r="C36" t="s">
        <v>212</v>
      </c>
    </row>
    <row r="37" spans="2:3">
      <c r="C37" t="s">
        <v>76</v>
      </c>
    </row>
    <row r="38" spans="2:3">
      <c r="C38" t="s">
        <v>74</v>
      </c>
    </row>
    <row r="39" spans="2:3">
      <c r="C39" t="s">
        <v>82</v>
      </c>
    </row>
    <row r="40" spans="2:3">
      <c r="C40" t="s">
        <v>84</v>
      </c>
    </row>
    <row r="41" spans="2:3">
      <c r="C41" t="s">
        <v>86</v>
      </c>
    </row>
    <row r="42" spans="2:3">
      <c r="C42" t="s">
        <v>88</v>
      </c>
    </row>
    <row r="43" spans="2:3">
      <c r="C43" t="s">
        <v>90</v>
      </c>
    </row>
    <row r="44" spans="2:3">
      <c r="C44" t="s">
        <v>106</v>
      </c>
    </row>
    <row r="45" spans="2:3">
      <c r="C45" t="s">
        <v>108</v>
      </c>
    </row>
    <row r="46" spans="2:3">
      <c r="C46" t="s">
        <v>110</v>
      </c>
    </row>
    <row r="47" spans="2:3">
      <c r="C47" t="s">
        <v>112</v>
      </c>
    </row>
    <row r="48" spans="2:3">
      <c r="C48" t="s">
        <v>114</v>
      </c>
    </row>
    <row r="49" spans="3:3">
      <c r="C49" t="s">
        <v>116</v>
      </c>
    </row>
    <row r="50" spans="3:3">
      <c r="C50" t="s">
        <v>118</v>
      </c>
    </row>
    <row r="51" spans="3:3">
      <c r="C51" t="s">
        <v>120</v>
      </c>
    </row>
    <row r="52" spans="3:3">
      <c r="C52" t="s">
        <v>122</v>
      </c>
    </row>
    <row r="53" spans="3:3">
      <c r="C53" t="s">
        <v>124</v>
      </c>
    </row>
    <row r="54" spans="3:3">
      <c r="C54" t="s">
        <v>126</v>
      </c>
    </row>
    <row r="55" spans="3:3">
      <c r="C55" t="s">
        <v>128</v>
      </c>
    </row>
    <row r="56" spans="3:3">
      <c r="C56" t="s">
        <v>130</v>
      </c>
    </row>
    <row r="57" spans="3:3">
      <c r="C57" t="s">
        <v>132</v>
      </c>
    </row>
    <row r="58" spans="3:3">
      <c r="C58" t="s">
        <v>144</v>
      </c>
    </row>
    <row r="59" spans="3:3">
      <c r="C59" t="s">
        <v>146</v>
      </c>
    </row>
    <row r="60" spans="3:3">
      <c r="C60" t="s">
        <v>148</v>
      </c>
    </row>
    <row r="61" spans="3:3">
      <c r="C61" t="s">
        <v>150</v>
      </c>
    </row>
    <row r="62" spans="3:3">
      <c r="C62" t="s">
        <v>152</v>
      </c>
    </row>
    <row r="63" spans="3:3">
      <c r="C63" t="s">
        <v>160</v>
      </c>
    </row>
    <row r="64" spans="3:3">
      <c r="C64" t="s">
        <v>162</v>
      </c>
    </row>
    <row r="65" spans="3:3">
      <c r="C65" t="s">
        <v>164</v>
      </c>
    </row>
    <row r="66" spans="3:3">
      <c r="C66" t="s">
        <v>166</v>
      </c>
    </row>
    <row r="67" spans="3:3">
      <c r="C67" t="s">
        <v>168</v>
      </c>
    </row>
    <row r="68" spans="3:3">
      <c r="C68" t="s">
        <v>140</v>
      </c>
    </row>
    <row r="69" spans="3:3">
      <c r="C69" t="s">
        <v>142</v>
      </c>
    </row>
  </sheetData>
  <mergeCells count="5">
    <mergeCell ref="AK3:BA3"/>
    <mergeCell ref="AC3:AG3"/>
    <mergeCell ref="AA3:AB3"/>
    <mergeCell ref="V3:Z3"/>
    <mergeCell ref="T3:U3"/>
  </mergeCells>
  <pageMargins left="0.7" right="0.7" top="0.75" bottom="0.75" header="0.3" footer="0.3"/>
  <pageSetup scale="49" orientation="landscape" r:id="rId1"/>
  <colBreaks count="5" manualBreakCount="5">
    <brk id="3" max="69" man="1"/>
    <brk id="15" max="69" man="1"/>
    <brk id="28" max="69" man="1"/>
    <brk id="36" max="1048575" man="1"/>
    <brk id="5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311</vt:i4>
      </vt:variant>
    </vt:vector>
  </HeadingPairs>
  <TitlesOfParts>
    <vt:vector size="336" baseType="lpstr">
      <vt:lpstr>Inputs</vt:lpstr>
      <vt:lpstr>Config</vt:lpstr>
      <vt:lpstr>LoCS</vt:lpstr>
      <vt:lpstr>Lights</vt:lpstr>
      <vt:lpstr>Order Acknowledgment Form</vt:lpstr>
      <vt:lpstr>Sheet1</vt:lpstr>
      <vt:lpstr>2013 Belmont Retail Pricing</vt:lpstr>
      <vt:lpstr>Lists of Products and Options</vt:lpstr>
      <vt:lpstr>Customer Purchase Order</vt:lpstr>
      <vt:lpstr>Vinyl</vt:lpstr>
      <vt:lpstr>Units Inter-Compatbility</vt:lpstr>
      <vt:lpstr>Sheet4</vt:lpstr>
      <vt:lpstr>Cabinetry Colors</vt:lpstr>
      <vt:lpstr>Cabinet UAT</vt:lpstr>
      <vt:lpstr>Custom Steri Center</vt:lpstr>
      <vt:lpstr>Chair UAT</vt:lpstr>
      <vt:lpstr>Light UAT</vt:lpstr>
      <vt:lpstr>Stools UAT</vt:lpstr>
      <vt:lpstr>Intra-Oral X-Ray UAT</vt:lpstr>
      <vt:lpstr>Extra-Oral and Digital X-Ray UA</vt:lpstr>
      <vt:lpstr>Parts UAT</vt:lpstr>
      <vt:lpstr>Sheet3</vt:lpstr>
      <vt:lpstr>Sheet2</vt:lpstr>
      <vt:lpstr>Sheet5</vt:lpstr>
      <vt:lpstr>Units</vt:lpstr>
      <vt:lpstr>___</vt:lpstr>
      <vt:lpstr>_1__</vt:lpstr>
      <vt:lpstr>_1_1</vt:lpstr>
      <vt:lpstr>_37N</vt:lpstr>
      <vt:lpstr>_37ND</vt:lpstr>
      <vt:lpstr>_37NOptionsPart</vt:lpstr>
      <vt:lpstr>_37NU</vt:lpstr>
      <vt:lpstr>_8_OptionsPart</vt:lpstr>
      <vt:lpstr>_81</vt:lpstr>
      <vt:lpstr>_81OptionsPart</vt:lpstr>
      <vt:lpstr>_9_OptionsPart</vt:lpstr>
      <vt:lpstr>_97WK2_OptionsPart</vt:lpstr>
      <vt:lpstr>_97WKGROptionsPart</vt:lpstr>
      <vt:lpstr>_97WKR2OptionsPart</vt:lpstr>
      <vt:lpstr>_9ROptionsPart</vt:lpstr>
      <vt:lpstr>AL_511T</vt:lpstr>
      <vt:lpstr>AL_511TOptionsPart</vt:lpstr>
      <vt:lpstr>AL_512T</vt:lpstr>
      <vt:lpstr>AL_512TOptionsPart</vt:lpstr>
      <vt:lpstr>AL_515T</vt:lpstr>
      <vt:lpstr>AL_515TOptionsPart</vt:lpstr>
      <vt:lpstr>AL_517N</vt:lpstr>
      <vt:lpstr>AL_517NOptionsPart</vt:lpstr>
      <vt:lpstr>AL_518T</vt:lpstr>
      <vt:lpstr>AL_518TOptionsPart</vt:lpstr>
      <vt:lpstr>AL_711M</vt:lpstr>
      <vt:lpstr>AL_711MOptionsPart</vt:lpstr>
      <vt:lpstr>AL_712M</vt:lpstr>
      <vt:lpstr>AL_712MOptionsPart</vt:lpstr>
      <vt:lpstr>AL_715M</vt:lpstr>
      <vt:lpstr>AL_715MOptionsPart</vt:lpstr>
      <vt:lpstr>AL_901</vt:lpstr>
      <vt:lpstr>AL_901OptionsPart</vt:lpstr>
      <vt:lpstr>AL_901R</vt:lpstr>
      <vt:lpstr>al_901ROptionsPart</vt:lpstr>
      <vt:lpstr>AL_902</vt:lpstr>
      <vt:lpstr>AL_902OptionsPart</vt:lpstr>
      <vt:lpstr>AL_905</vt:lpstr>
      <vt:lpstr>AL_905OptionsPart</vt:lpstr>
      <vt:lpstr>AL_907</vt:lpstr>
      <vt:lpstr>AL_907OptionsPart</vt:lpstr>
      <vt:lpstr>AL_908</vt:lpstr>
      <vt:lpstr>AL_908OptionsPart</vt:lpstr>
      <vt:lpstr>B_20n</vt:lpstr>
      <vt:lpstr>B_20NOptionsPart</vt:lpstr>
      <vt:lpstr>B_50</vt:lpstr>
      <vt:lpstr>b_50OptionsPart</vt:lpstr>
      <vt:lpstr>B20n</vt:lpstr>
      <vt:lpstr>Units!BDS_2500</vt:lpstr>
      <vt:lpstr>BDS_2500</vt:lpstr>
      <vt:lpstr>BDS_2500OptionsPart</vt:lpstr>
      <vt:lpstr>BDS_2505</vt:lpstr>
      <vt:lpstr>BDS_2505OptionsPart</vt:lpstr>
      <vt:lpstr>BDS_2510</vt:lpstr>
      <vt:lpstr>BDS_2510OptionsPart</vt:lpstr>
      <vt:lpstr>BDS_2515</vt:lpstr>
      <vt:lpstr>BDS_2515OptionsPart</vt:lpstr>
      <vt:lpstr>BDS_2520</vt:lpstr>
      <vt:lpstr>BDS_2530</vt:lpstr>
      <vt:lpstr>BDS_2530OptionsPart</vt:lpstr>
      <vt:lpstr>BDS_2532</vt:lpstr>
      <vt:lpstr>BDS_2532OptionsPart</vt:lpstr>
      <vt:lpstr>BDS_2535</vt:lpstr>
      <vt:lpstr>BDS_2535OptionsPart</vt:lpstr>
      <vt:lpstr>BDS_2536</vt:lpstr>
      <vt:lpstr>BDS_2536OptionsPart</vt:lpstr>
      <vt:lpstr>BDS_2541</vt:lpstr>
      <vt:lpstr>BDS_2541OptionsPart</vt:lpstr>
      <vt:lpstr>BDS_2543</vt:lpstr>
      <vt:lpstr>BDS_2543OptionsPart</vt:lpstr>
      <vt:lpstr>BDS_2555</vt:lpstr>
      <vt:lpstr>BDS_2555OptionsPart</vt:lpstr>
      <vt:lpstr>BDS_2561</vt:lpstr>
      <vt:lpstr>BDS_2561OptionsPart</vt:lpstr>
      <vt:lpstr>BDS_2563</vt:lpstr>
      <vt:lpstr>BDS_2563OptionsPart</vt:lpstr>
      <vt:lpstr>BDS_2564</vt:lpstr>
      <vt:lpstr>BDS_2564OptionsPart</vt:lpstr>
      <vt:lpstr>BDS_2570</vt:lpstr>
      <vt:lpstr>BDS_2571</vt:lpstr>
      <vt:lpstr>BDS_2571OptionsPart</vt:lpstr>
      <vt:lpstr>BDS_2572</vt:lpstr>
      <vt:lpstr>BDS_2575</vt:lpstr>
      <vt:lpstr>Bel_CatCMOptionsPart</vt:lpstr>
      <vt:lpstr>Bel_CatOptionsPart</vt:lpstr>
      <vt:lpstr>Bel_CatPAOptionsPart</vt:lpstr>
      <vt:lpstr>Bel_MaxCMOptionsPart</vt:lpstr>
      <vt:lpstr>Both</vt:lpstr>
      <vt:lpstr>BSEN_XV20OptionsPart</vt:lpstr>
      <vt:lpstr>BSEN_XVLIC10OptionsPart</vt:lpstr>
      <vt:lpstr>BSEN_XVLIC5OptionsPart</vt:lpstr>
      <vt:lpstr>BSEN_XVLITEALOptionsPart</vt:lpstr>
      <vt:lpstr>BSEN_XVOptionsPart</vt:lpstr>
      <vt:lpstr>BSEN_XVPRODICOMOptionsPart</vt:lpstr>
      <vt:lpstr>BSEN_XVPROLIC10OptionsPart</vt:lpstr>
      <vt:lpstr>BSEN_XVPROLIC20OptionsPart</vt:lpstr>
      <vt:lpstr>BSEN_XVPROLIC5OptionsPART</vt:lpstr>
      <vt:lpstr>BSEN_XVPROLICOptionsPart</vt:lpstr>
      <vt:lpstr>BSEN_XVPROOptionsPart</vt:lpstr>
      <vt:lpstr>cabinet</vt:lpstr>
      <vt:lpstr>cabinetpvc</vt:lpstr>
      <vt:lpstr>Cabinetry</vt:lpstr>
      <vt:lpstr>CabinetryColors</vt:lpstr>
      <vt:lpstr>Cambria</vt:lpstr>
      <vt:lpstr>Chairs</vt:lpstr>
      <vt:lpstr>Custom</vt:lpstr>
      <vt:lpstr>D_1_RSOptionsPart</vt:lpstr>
      <vt:lpstr>D_2LOptionsPart</vt:lpstr>
      <vt:lpstr>D_2OptionsPart</vt:lpstr>
      <vt:lpstr>D_2UOptionsPart</vt:lpstr>
      <vt:lpstr>D_3_LSOptionsPart</vt:lpstr>
      <vt:lpstr>D_3_RSOptionsPart</vt:lpstr>
      <vt:lpstr>D_42OptionsPart</vt:lpstr>
      <vt:lpstr>D_4ROptionsPart</vt:lpstr>
      <vt:lpstr>D_5CM_OptionsPart</vt:lpstr>
      <vt:lpstr>D_5CMOptionsPart</vt:lpstr>
      <vt:lpstr>D_5CMOptionsParty</vt:lpstr>
      <vt:lpstr>D_66CM2_LOptionsPart</vt:lpstr>
      <vt:lpstr>D_66CM2OptionsPart</vt:lpstr>
      <vt:lpstr>D_66CM3_53OptionsPart</vt:lpstr>
      <vt:lpstr>D_66CM3_DSOptionsPart</vt:lpstr>
      <vt:lpstr>D_66CM3_LOptionsPart</vt:lpstr>
      <vt:lpstr>D_66CM3_LSOptionsPart</vt:lpstr>
      <vt:lpstr>D_66CM3_RSOptionsPart</vt:lpstr>
      <vt:lpstr>D_66CM3OptionsPart</vt:lpstr>
      <vt:lpstr>D_66CMGOptionsPart</vt:lpstr>
      <vt:lpstr>D_8OptionsPart</vt:lpstr>
      <vt:lpstr>D_96OptionsPart</vt:lpstr>
      <vt:lpstr>D_9OptionsPart</vt:lpstr>
      <vt:lpstr>DU</vt:lpstr>
      <vt:lpstr>Duration</vt:lpstr>
      <vt:lpstr>E</vt:lpstr>
      <vt:lpstr>E_1_LSOptionsPart</vt:lpstr>
      <vt:lpstr>E_1_RSOptionsPart</vt:lpstr>
      <vt:lpstr>E_120OptionsPart</vt:lpstr>
      <vt:lpstr>E_155OptionsPart</vt:lpstr>
      <vt:lpstr>E_2LOptionsPart</vt:lpstr>
      <vt:lpstr>E_2OptionsPart</vt:lpstr>
      <vt:lpstr>E_2UOptionsPart</vt:lpstr>
      <vt:lpstr>E_3_LSOptionsPart</vt:lpstr>
      <vt:lpstr>E_3_RSOptionsPart</vt:lpstr>
      <vt:lpstr>E_3C_LSOptionsPart</vt:lpstr>
      <vt:lpstr>E_3C_RSOptionsPart</vt:lpstr>
      <vt:lpstr>E_3CM_LSOptionsPart</vt:lpstr>
      <vt:lpstr>E_3CM_RSOptionsPart</vt:lpstr>
      <vt:lpstr>E_3CMC_LSOptionsPart</vt:lpstr>
      <vt:lpstr>E_3CMC_RSOptionsPart</vt:lpstr>
      <vt:lpstr>E_4OptionsPart</vt:lpstr>
      <vt:lpstr>E_6LOptionsPart</vt:lpstr>
      <vt:lpstr>E_6OptionsPart</vt:lpstr>
      <vt:lpstr>E_7_DSOptionsPart</vt:lpstr>
      <vt:lpstr>E_7_LSOptionsPart</vt:lpstr>
      <vt:lpstr>E_7_RSOptionsPart</vt:lpstr>
      <vt:lpstr>E_7OptionsPart</vt:lpstr>
      <vt:lpstr>E_8OptionsPart</vt:lpstr>
      <vt:lpstr>E_9OptionsPart</vt:lpstr>
      <vt:lpstr>ECO_1_LSOptionsPart</vt:lpstr>
      <vt:lpstr>ECO_1_RSOptionsPart</vt:lpstr>
      <vt:lpstr>ECO_2LOptionsPart</vt:lpstr>
      <vt:lpstr>ECO_3_LSOptionsPart</vt:lpstr>
      <vt:lpstr>ECO_3_RSOptionsPart</vt:lpstr>
      <vt:lpstr>ECO_6_LOptionsPart</vt:lpstr>
      <vt:lpstr>ECO_6OptionsPart</vt:lpstr>
      <vt:lpstr>ECO_9F2BOptionsPart</vt:lpstr>
      <vt:lpstr>ECO_9OptionsPart</vt:lpstr>
      <vt:lpstr>EDS_0500</vt:lpstr>
      <vt:lpstr>EDS_0500OptionsPart</vt:lpstr>
      <vt:lpstr>EDS_0501</vt:lpstr>
      <vt:lpstr>EDS_0501OptionsPart</vt:lpstr>
      <vt:lpstr>EDS_0502</vt:lpstr>
      <vt:lpstr>EDS_0502OptionsPart</vt:lpstr>
      <vt:lpstr>EDS_0510</vt:lpstr>
      <vt:lpstr>EDS_0510OptionsPart</vt:lpstr>
      <vt:lpstr>EDS_0512</vt:lpstr>
      <vt:lpstr>EDS_0512OptionsPart</vt:lpstr>
      <vt:lpstr>EDS_0520</vt:lpstr>
      <vt:lpstr>EDS_0520OptionsPart</vt:lpstr>
      <vt:lpstr>EDS_0522</vt:lpstr>
      <vt:lpstr>EDS_0522OptionsPart</vt:lpstr>
      <vt:lpstr>EDS_0570</vt:lpstr>
      <vt:lpstr>EDS_0570OptionsPart</vt:lpstr>
      <vt:lpstr>EDS_0575</vt:lpstr>
      <vt:lpstr>EDS_0575OptionsPart</vt:lpstr>
      <vt:lpstr>EDS_0579</vt:lpstr>
      <vt:lpstr>EDS_0579OptionsPart</vt:lpstr>
      <vt:lpstr>EDS_0604</vt:lpstr>
      <vt:lpstr>EDS_0605</vt:lpstr>
      <vt:lpstr>EDS_0606</vt:lpstr>
      <vt:lpstr>EDS_0610</vt:lpstr>
      <vt:lpstr>EDS_0610OptionsPart</vt:lpstr>
      <vt:lpstr>EDS_0612</vt:lpstr>
      <vt:lpstr>EDS_0612OptionsPart</vt:lpstr>
      <vt:lpstr>EDS_0620</vt:lpstr>
      <vt:lpstr>EDS_0650</vt:lpstr>
      <vt:lpstr>EDS_0650OptionsPart</vt:lpstr>
      <vt:lpstr>EDS_0670</vt:lpstr>
      <vt:lpstr>EDS_0670OptionsPart</vt:lpstr>
      <vt:lpstr>EDS_0675</vt:lpstr>
      <vt:lpstr>EDS_0675OptionsPart</vt:lpstr>
      <vt:lpstr>EDS_0679</vt:lpstr>
      <vt:lpstr>EDS_0679OptionsPart</vt:lpstr>
      <vt:lpstr>EDS_0700</vt:lpstr>
      <vt:lpstr>EDS_0700OptionsPart</vt:lpstr>
      <vt:lpstr>EDS_0701</vt:lpstr>
      <vt:lpstr>EDS_0701OptionsPart</vt:lpstr>
      <vt:lpstr>EDS_0702</vt:lpstr>
      <vt:lpstr>EDS_0702OptionsPart</vt:lpstr>
      <vt:lpstr>EDS_0710</vt:lpstr>
      <vt:lpstr>EDS_0710OptionsPart</vt:lpstr>
      <vt:lpstr>EDS_0712</vt:lpstr>
      <vt:lpstr>EDS_0712OptionsPart</vt:lpstr>
      <vt:lpstr>EDS_0770</vt:lpstr>
      <vt:lpstr>EDS_0770OptionsPart</vt:lpstr>
      <vt:lpstr>EDS_0775</vt:lpstr>
      <vt:lpstr>EDS_0775OptionsPart</vt:lpstr>
      <vt:lpstr>EDS_0779</vt:lpstr>
      <vt:lpstr>EDS_0779OptionsPart</vt:lpstr>
      <vt:lpstr>EDS_3090</vt:lpstr>
      <vt:lpstr>G_GWK2_OptionsPart</vt:lpstr>
      <vt:lpstr>G_GWKR2</vt:lpstr>
      <vt:lpstr>G_GWKR2OptionsPart</vt:lpstr>
      <vt:lpstr>Hausys</vt:lpstr>
      <vt:lpstr>heightrequired</vt:lpstr>
      <vt:lpstr>ITEMS</vt:lpstr>
      <vt:lpstr>laminate</vt:lpstr>
      <vt:lpstr>lightheight</vt:lpstr>
      <vt:lpstr>Lights</vt:lpstr>
      <vt:lpstr>NU</vt:lpstr>
      <vt:lpstr>O81D</vt:lpstr>
      <vt:lpstr>O81U</vt:lpstr>
      <vt:lpstr>O91D</vt:lpstr>
      <vt:lpstr>O91U</vt:lpstr>
      <vt:lpstr>OC_200OptionsPart</vt:lpstr>
      <vt:lpstr>OC_400OptionsPart</vt:lpstr>
      <vt:lpstr>Parts</vt:lpstr>
      <vt:lpstr>PHOT_XIIOptionsPart</vt:lpstr>
      <vt:lpstr>'2013 Belmont Retail Pricing'!Print_Area</vt:lpstr>
      <vt:lpstr>Config!Print_Area</vt:lpstr>
      <vt:lpstr>'Customer Purchase Order'!Print_Area</vt:lpstr>
      <vt:lpstr>Inputs!Print_Area</vt:lpstr>
      <vt:lpstr>Lights!Print_Area</vt:lpstr>
      <vt:lpstr>LoCS!Print_Area</vt:lpstr>
      <vt:lpstr>'Order Acknowledgment Form'!Print_Area</vt:lpstr>
      <vt:lpstr>Units!Print_Area</vt:lpstr>
      <vt:lpstr>Lights!Print_Titles</vt:lpstr>
      <vt:lpstr>PWOS</vt:lpstr>
      <vt:lpstr>PWSL</vt:lpstr>
      <vt:lpstr>q__</vt:lpstr>
      <vt:lpstr>Q_5000</vt:lpstr>
      <vt:lpstr>Q_5000OptionDescription</vt:lpstr>
      <vt:lpstr>Q_5000OptionPrice</vt:lpstr>
      <vt:lpstr>Q_5000Options</vt:lpstr>
      <vt:lpstr>Q_5000OptionsPart</vt:lpstr>
      <vt:lpstr>QDU_5300</vt:lpstr>
      <vt:lpstr>QDU_5370</vt:lpstr>
      <vt:lpstr>QDU_5370OptionsPart</vt:lpstr>
      <vt:lpstr>QDU_5371</vt:lpstr>
      <vt:lpstr>QDU_5371OptionsPart</vt:lpstr>
      <vt:lpstr>QDU_5375</vt:lpstr>
      <vt:lpstr>QDU_5375OptionsPart</vt:lpstr>
      <vt:lpstr>QDU_5379</vt:lpstr>
      <vt:lpstr>QDU_5379OptionsPart</vt:lpstr>
      <vt:lpstr>QDU_5400</vt:lpstr>
      <vt:lpstr>QDU_5470</vt:lpstr>
      <vt:lpstr>QDU_5470OptionsPart</vt:lpstr>
      <vt:lpstr>QDU_5471</vt:lpstr>
      <vt:lpstr>QDU_5471OptionsPart</vt:lpstr>
      <vt:lpstr>QDU_5475</vt:lpstr>
      <vt:lpstr>QDU_5475OptionsPart</vt:lpstr>
      <vt:lpstr>QDU_5479</vt:lpstr>
      <vt:lpstr>QDU_5479OptionsPart</vt:lpstr>
      <vt:lpstr>QDU_5630</vt:lpstr>
      <vt:lpstr>QDU_5631</vt:lpstr>
      <vt:lpstr>QDU_5631OptionsPart</vt:lpstr>
      <vt:lpstr>QDU_5670</vt:lpstr>
      <vt:lpstr>QDU_5670OptionsPart</vt:lpstr>
      <vt:lpstr>QDU_5671</vt:lpstr>
      <vt:lpstr>QDU_5671OptionsPart</vt:lpstr>
      <vt:lpstr>QDU_5675</vt:lpstr>
      <vt:lpstr>QDU_5675OptionsPart</vt:lpstr>
      <vt:lpstr>QDU_5679</vt:lpstr>
      <vt:lpstr>QDU_5679OptionsPart</vt:lpstr>
      <vt:lpstr>QDU_5870</vt:lpstr>
      <vt:lpstr>QDU_5870OptionsPart</vt:lpstr>
      <vt:lpstr>QDU_5871</vt:lpstr>
      <vt:lpstr>QDU_5871OptionsPart</vt:lpstr>
      <vt:lpstr>QDU_5875</vt:lpstr>
      <vt:lpstr>QDU_5875OptionsPart</vt:lpstr>
      <vt:lpstr>QDU_5879</vt:lpstr>
      <vt:lpstr>QDU_5879OptionsPart</vt:lpstr>
      <vt:lpstr>QPS</vt:lpstr>
      <vt:lpstr>QPW</vt:lpstr>
      <vt:lpstr>QSS</vt:lpstr>
      <vt:lpstr>QSW</vt:lpstr>
      <vt:lpstr>R__OptionsPart</vt:lpstr>
      <vt:lpstr>R_ROptionsPart</vt:lpstr>
      <vt:lpstr>salesperson</vt:lpstr>
      <vt:lpstr>SL</vt:lpstr>
      <vt:lpstr>Standard</vt:lpstr>
      <vt:lpstr>SteriOptionsPart</vt:lpstr>
      <vt:lpstr>Stools</vt:lpstr>
      <vt:lpstr>SWOS</vt:lpstr>
      <vt:lpstr>SWSL</vt:lpstr>
      <vt:lpstr>UL</vt:lpstr>
      <vt:lpstr>ULHP</vt:lpstr>
      <vt:lpstr>ULNU</vt:lpstr>
      <vt:lpstr>ULSL</vt:lpstr>
      <vt:lpstr>Ultraleather</vt:lpstr>
      <vt:lpstr>Units</vt:lpstr>
      <vt:lpstr>wipeout</vt:lpstr>
      <vt:lpstr>X_Ray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Pullman</dc:creator>
  <cp:lastModifiedBy>Sean</cp:lastModifiedBy>
  <cp:lastPrinted>2013-09-16T19:13:00Z</cp:lastPrinted>
  <dcterms:created xsi:type="dcterms:W3CDTF">2010-05-18T21:18:11Z</dcterms:created>
  <dcterms:modified xsi:type="dcterms:W3CDTF">2014-03-05T16:24:18Z</dcterms:modified>
</cp:coreProperties>
</file>