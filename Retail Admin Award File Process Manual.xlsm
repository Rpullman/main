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450" yWindow="885" windowWidth="19440" windowHeight="9075"/>
  </bookViews>
  <sheets>
    <sheet name="Sheet1" sheetId="1" r:id="rId1"/>
    <sheet name="Sheet2" sheetId="2" r:id="rId2"/>
    <sheet name="Sheet3" sheetId="3" r:id="rId3"/>
    <sheet name="Sheet1 (2)" sheetId="4" r:id="rId4"/>
  </sheets>
  <functionGroups builtInGroupCount="17"/>
  <externalReferences>
    <externalReference r:id="rId5"/>
    <externalReference r:id="rId6"/>
  </externalReferences>
  <definedNames>
    <definedName name="FiscalMonth" localSheetId="3">[1]Sheet2!$A$1:$A$12</definedName>
    <definedName name="FiscalMonth">Sheet2!$A$1:$A$12</definedName>
    <definedName name="FY_2" localSheetId="3">'Sheet1 (2)'!$K$1</definedName>
    <definedName name="FY_2">Sheet1!$K$1</definedName>
    <definedName name="Mon_Abb" localSheetId="3">'Sheet1 (2)'!$K$3</definedName>
    <definedName name="Mon_Abb">Sheet1!$K$3</definedName>
    <definedName name="Mon_Name" localSheetId="3">'Sheet1 (2)'!$K$2</definedName>
    <definedName name="Mon_Name">Sheet1!$K$2</definedName>
    <definedName name="Per_ID" localSheetId="3">'Sheet1 (2)'!$J$2</definedName>
    <definedName name="Per_ID">Sheet1!$J$2</definedName>
    <definedName name="_xlnm.Print_Area" localSheetId="0">Sheet1!$A$1:$O$102</definedName>
    <definedName name="_xlnm.Print_Area" localSheetId="3">'Sheet1 (2)'!$A$1:$O$90</definedName>
    <definedName name="_xlnm.Print_Titles" localSheetId="0">Sheet1!$1:$5</definedName>
    <definedName name="_xlnm.Print_Titles" localSheetId="3">'Sheet1 (2)'!$1:$5</definedName>
    <definedName name="Step_6_To" localSheetId="3">'Sheet1 (2)'!$J$17:$J$21</definedName>
    <definedName name="Step_6_To">Sheet1!$J$17:$J$21</definedName>
    <definedName name="Year_Num" localSheetId="3">'Sheet1 (2)'!$J$1</definedName>
    <definedName name="Year_Num">Sheet1!$J$1</definedName>
  </definedNames>
  <calcPr calcId="145621"/>
</workbook>
</file>

<file path=xl/calcChain.xml><?xml version="1.0" encoding="utf-8"?>
<calcChain xmlns="http://schemas.openxmlformats.org/spreadsheetml/2006/main">
  <c r="K49" i="1" l="1"/>
  <c r="K48" i="1"/>
  <c r="D17" i="1" l="1"/>
  <c r="K34" i="1"/>
  <c r="K35" i="1"/>
  <c r="K36" i="1"/>
  <c r="K37" i="1"/>
  <c r="K38" i="1"/>
  <c r="K7" i="1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27" i="4"/>
  <c r="K26" i="4"/>
  <c r="K25" i="4"/>
  <c r="K24" i="4"/>
  <c r="K23" i="4"/>
  <c r="K22" i="4"/>
  <c r="K21" i="4"/>
  <c r="K20" i="4"/>
  <c r="K19" i="4"/>
  <c r="K18" i="4"/>
  <c r="K17" i="4"/>
  <c r="K14" i="4"/>
  <c r="K10" i="4"/>
  <c r="K9" i="4"/>
  <c r="K8" i="4"/>
  <c r="K7" i="4"/>
  <c r="L3" i="4"/>
  <c r="M3" i="4" s="1"/>
  <c r="K3" i="4"/>
  <c r="L2" i="4"/>
  <c r="K2" i="4"/>
  <c r="K1" i="4"/>
  <c r="M1" i="4" s="1"/>
  <c r="K77" i="1" l="1"/>
  <c r="K76" i="1" l="1"/>
  <c r="K75" i="1"/>
  <c r="K74" i="1"/>
  <c r="K73" i="1"/>
  <c r="K72" i="1"/>
  <c r="K71" i="1"/>
  <c r="K70" i="1"/>
  <c r="K69" i="1"/>
  <c r="K68" i="1"/>
  <c r="K67" i="1"/>
  <c r="H30" i="2" l="1"/>
  <c r="H24" i="2"/>
  <c r="B21" i="2"/>
  <c r="B20" i="2"/>
  <c r="H19" i="2"/>
  <c r="B18" i="2"/>
  <c r="H17" i="2"/>
  <c r="B15" i="2"/>
  <c r="H14" i="2"/>
  <c r="B14" i="2"/>
  <c r="H12" i="2"/>
  <c r="I4" i="2"/>
  <c r="I3" i="2"/>
  <c r="I2" i="2"/>
  <c r="I1" i="2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47" i="1"/>
  <c r="K46" i="1"/>
  <c r="K45" i="1"/>
  <c r="K44" i="1"/>
  <c r="K91" i="1"/>
  <c r="K90" i="1"/>
  <c r="K89" i="1"/>
  <c r="K88" i="1"/>
  <c r="K87" i="1"/>
  <c r="K86" i="1"/>
  <c r="K85" i="1"/>
  <c r="K84" i="1"/>
  <c r="K83" i="1"/>
  <c r="K82" i="1"/>
  <c r="K81" i="1"/>
  <c r="K42" i="1"/>
  <c r="K27" i="1"/>
  <c r="K26" i="1"/>
  <c r="K25" i="1"/>
  <c r="K24" i="1"/>
  <c r="K23" i="1"/>
  <c r="K22" i="1"/>
  <c r="K21" i="1"/>
  <c r="K20" i="1"/>
  <c r="K19" i="1"/>
  <c r="K10" i="1"/>
  <c r="K9" i="1"/>
  <c r="L3" i="1"/>
  <c r="M3" i="1" s="1"/>
  <c r="K3" i="1"/>
  <c r="B17" i="2" s="1"/>
  <c r="L2" i="1"/>
  <c r="K2" i="1"/>
  <c r="B16" i="2" s="1"/>
  <c r="K1" i="1"/>
  <c r="M1" i="1" s="1"/>
  <c r="H8" i="2" l="1"/>
  <c r="H6" i="2"/>
  <c r="H10" i="2" s="1"/>
  <c r="H29" i="2" s="1"/>
  <c r="H9" i="2"/>
  <c r="H28" i="2" s="1"/>
  <c r="H7" i="2"/>
</calcChain>
</file>

<file path=xl/sharedStrings.xml><?xml version="1.0" encoding="utf-8"?>
<sst xmlns="http://schemas.openxmlformats.org/spreadsheetml/2006/main" count="644" uniqueCount="345">
  <si>
    <t>Ref</t>
  </si>
  <si>
    <t>#</t>
  </si>
  <si>
    <t>Fiscal</t>
  </si>
  <si>
    <t>Timing</t>
  </si>
  <si>
    <t>Deliverable</t>
  </si>
  <si>
    <t>Process / Steps</t>
  </si>
  <si>
    <t>(if applicable)</t>
  </si>
  <si>
    <t>Teams</t>
  </si>
  <si>
    <t xml:space="preserve">Involved </t>
  </si>
  <si>
    <t>Week 4/5</t>
  </si>
  <si>
    <t xml:space="preserve">-Email to come from Betsey McGuire (BI) and / or Jen Saunders (the Field) if the store hierarchy has been changed on a large scale </t>
  </si>
  <si>
    <t>RF, HR, BI, the Field</t>
  </si>
  <si>
    <t xml:space="preserve">- Ensure that Access content is “enabled” if pop up bar appears </t>
  </si>
  <si>
    <t xml:space="preserve">-Fill out Access form for each individual change to VM, MM+, and store hierarchy </t>
  </si>
  <si>
    <t>-See the Varicent Instruction Manual for specific inquiries</t>
  </si>
  <si>
    <t xml:space="preserve">RF, Systems </t>
  </si>
  <si>
    <r>
      <t xml:space="preserve">Save down previous month’s Access files, </t>
    </r>
    <r>
      <rPr>
        <b/>
        <sz val="7"/>
        <color theme="1"/>
        <rFont val="Century Gothic"/>
        <family val="2"/>
      </rPr>
      <t>export current month’s Access files and upload</t>
    </r>
    <r>
      <rPr>
        <sz val="7"/>
        <color theme="1"/>
        <rFont val="Century Gothic"/>
        <family val="2"/>
      </rPr>
      <t xml:space="preserve"> to FTP to upload to Varicent Production Model</t>
    </r>
  </si>
  <si>
    <t>-Save down previous month’s Access tables in the corresponding monthly upload folder</t>
  </si>
  <si>
    <t>-Then export Access files from database</t>
  </si>
  <si>
    <t xml:space="preserve">-Upload files to Varicent Production Model using the Varicent Manual  </t>
  </si>
  <si>
    <t>Week 1</t>
  </si>
  <si>
    <t>-Send reminder to both NA Retail and Outlet Multi-Managers from Retail Finance Inbox</t>
  </si>
  <si>
    <t>RF</t>
  </si>
  <si>
    <r>
      <t xml:space="preserve">Set up the </t>
    </r>
    <r>
      <rPr>
        <b/>
        <sz val="7"/>
        <color theme="1"/>
        <rFont val="Century Gothic"/>
        <family val="2"/>
      </rPr>
      <t>TS</t>
    </r>
    <r>
      <rPr>
        <sz val="7"/>
        <color theme="1"/>
        <rFont val="Century Gothic"/>
        <family val="2"/>
      </rPr>
      <t xml:space="preserve"> </t>
    </r>
    <r>
      <rPr>
        <b/>
        <sz val="7"/>
        <color theme="1"/>
        <rFont val="Century Gothic"/>
        <family val="2"/>
      </rPr>
      <t>Goals</t>
    </r>
    <r>
      <rPr>
        <sz val="7"/>
        <color theme="1"/>
        <rFont val="Century Gothic"/>
        <family val="2"/>
      </rPr>
      <t xml:space="preserve"> upload file for Varicent System </t>
    </r>
  </si>
  <si>
    <t xml:space="preserve">RF </t>
  </si>
  <si>
    <t xml:space="preserve">-Leverage Real Estate Schedule from Capital Team to make necessary adjustments for FULL day closures based on closure date </t>
  </si>
  <si>
    <r>
      <t xml:space="preserve">Run </t>
    </r>
    <r>
      <rPr>
        <b/>
        <sz val="7"/>
        <color theme="1"/>
        <rFont val="Century Gothic"/>
        <family val="2"/>
      </rPr>
      <t>pre / post analyses</t>
    </r>
    <r>
      <rPr>
        <sz val="7"/>
        <color theme="1"/>
        <rFont val="Century Gothic"/>
        <family val="2"/>
      </rPr>
      <t xml:space="preserve"> for any pilot doors</t>
    </r>
  </si>
  <si>
    <t xml:space="preserve">-If doors participated in pilots / ran promotions </t>
  </si>
  <si>
    <t>Download the following Teamshare Reports in Varicent Reporting Tool:</t>
  </si>
  <si>
    <t xml:space="preserve">-Save down previous month’s files to retain formatting </t>
  </si>
  <si>
    <t xml:space="preserve">-Update the month name </t>
  </si>
  <si>
    <t xml:space="preserve">-Clear all precedent data </t>
  </si>
  <si>
    <t>-Drop data into formatted files</t>
  </si>
  <si>
    <t xml:space="preserve">Assemble the Teamshare Accrual for Expense Team </t>
  </si>
  <si>
    <t>Week 2</t>
  </si>
  <si>
    <r>
      <t xml:space="preserve">Aggregate all </t>
    </r>
    <r>
      <rPr>
        <b/>
        <sz val="7"/>
        <color theme="1"/>
        <rFont val="Century Gothic"/>
        <family val="2"/>
      </rPr>
      <t>Additional / Acting Bonus Assignments</t>
    </r>
    <r>
      <rPr>
        <sz val="7"/>
        <color theme="1"/>
        <rFont val="Century Gothic"/>
        <family val="2"/>
      </rPr>
      <t xml:space="preserve"> from the Field (DVP / RMs)</t>
    </r>
  </si>
  <si>
    <t xml:space="preserve">-Emails will be sent to Retail Finance Inbox </t>
  </si>
  <si>
    <t xml:space="preserve">-Check in with Sales Team members to ensure that no forms were sent directly to them </t>
  </si>
  <si>
    <r>
      <t xml:space="preserve">Set up </t>
    </r>
    <r>
      <rPr>
        <b/>
        <sz val="7"/>
        <color theme="1"/>
        <rFont val="Century Gothic"/>
        <family val="2"/>
      </rPr>
      <t>Exceptions</t>
    </r>
    <r>
      <rPr>
        <sz val="7"/>
        <color theme="1"/>
        <rFont val="Century Gothic"/>
        <family val="2"/>
      </rPr>
      <t xml:space="preserve"> file to ensure combined arrangements / 2 store / 2 district employees are being paid out properly  </t>
    </r>
  </si>
  <si>
    <t>Aggregate all special Contest bonuses (i.e. Retail Holiday, Men’s Specialist, etc.)</t>
  </si>
  <si>
    <t>RF, Store Ops, HR</t>
  </si>
  <si>
    <r>
      <t xml:space="preserve">Set up the </t>
    </r>
    <r>
      <rPr>
        <b/>
        <sz val="7"/>
        <color theme="1"/>
        <rFont val="Century Gothic"/>
        <family val="2"/>
      </rPr>
      <t>Manual Payments</t>
    </r>
    <r>
      <rPr>
        <sz val="7"/>
        <color theme="1"/>
        <rFont val="Century Gothic"/>
        <family val="2"/>
      </rPr>
      <t xml:space="preserve"> upload file for Varicent System</t>
    </r>
  </si>
  <si>
    <t xml:space="preserve">-Combination of Additional / Acting Bonuses / Exceptions (combined arrangements) / special Contest bonuses </t>
  </si>
  <si>
    <t xml:space="preserve">Upload .CSV file to FTP to upload to Varicent </t>
  </si>
  <si>
    <t xml:space="preserve">-Store Ops Report </t>
  </si>
  <si>
    <t>-Contest Store Ops Report (if Nov / Dec)</t>
  </si>
  <si>
    <r>
      <t>-Coach Bucks Store Ops Export</t>
    </r>
    <r>
      <rPr>
        <sz val="7"/>
        <color theme="1"/>
        <rFont val="Century Gothic"/>
        <family val="2"/>
      </rPr>
      <t xml:space="preserve"> </t>
    </r>
  </si>
  <si>
    <t xml:space="preserve">-US Payroll Export </t>
  </si>
  <si>
    <t>-CAD Payroll Export</t>
  </si>
  <si>
    <r>
      <t>Corporate teams with process ownership:</t>
    </r>
    <r>
      <rPr>
        <sz val="8"/>
        <color theme="1"/>
        <rFont val="Century Gothic"/>
        <family val="2"/>
      </rPr>
      <t xml:space="preserve"> Retail Finance (RF), Payroll Systems (Systems), Payroll, Coach Connect, the Field, Store Accounting, VM, BI  </t>
    </r>
  </si>
  <si>
    <t>Automated Step</t>
  </si>
  <si>
    <t>Confirm Completion</t>
  </si>
  <si>
    <t>Checkbox</t>
  </si>
  <si>
    <t>Did you send the Email to Heidi?</t>
  </si>
  <si>
    <t>Contact Person Email Address</t>
  </si>
  <si>
    <t>Heidi Rogers</t>
  </si>
  <si>
    <t>Contact Person First Name</t>
  </si>
  <si>
    <t>Sarah Liu</t>
  </si>
  <si>
    <t>Beth Quin</t>
  </si>
  <si>
    <t>Bquin@coach.com</t>
  </si>
  <si>
    <t>SLiu2@Coach.com</t>
  </si>
  <si>
    <t>What is the Current Fiscal Year?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</si>
  <si>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</si>
  <si>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</si>
  <si>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</si>
  <si>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</si>
  <si>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</si>
  <si>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</si>
  <si>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</si>
  <si>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</si>
  <si>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</si>
  <si>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</si>
  <si>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</si>
  <si>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</si>
  <si>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 xml:space="preserve">What TeamShare Period are you Processing?      </t>
  </si>
  <si>
    <t>Jonathan Dunn</t>
  </si>
  <si>
    <t>jdunn@coach.com</t>
  </si>
  <si>
    <t>Peter Panagiotopoulos</t>
  </si>
  <si>
    <t>Ppanagiotopoulos@coach.com</t>
  </si>
  <si>
    <t>Anisa Hsieh</t>
  </si>
  <si>
    <t>Michelle Fong</t>
  </si>
  <si>
    <t>Jennifer DiMarino</t>
  </si>
  <si>
    <t>Monthly Award File</t>
  </si>
  <si>
    <t>Ahsieh@coach.com</t>
  </si>
  <si>
    <t>Mfong@coach.com</t>
  </si>
  <si>
    <t>JDiMarino@coach.com</t>
  </si>
  <si>
    <t>SLiu2@coach.com</t>
  </si>
  <si>
    <t>Retail Success Rate</t>
  </si>
  <si>
    <t>Outlet Success Rate</t>
  </si>
  <si>
    <t>Outlet Actual Total Sales % Var to Goal</t>
  </si>
  <si>
    <t>Retail Actual Total Sales % Var to Goal</t>
  </si>
  <si>
    <t>FY</t>
  </si>
  <si>
    <t>Period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</si>
  <si>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</si>
  <si>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</si>
  <si>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</si>
  <si>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</si>
  <si>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</si>
  <si>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</si>
  <si>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</si>
  <si>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</si>
  <si>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</si>
  <si>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</si>
  <si>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</si>
  <si>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</si>
  <si>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Month</t>
  </si>
  <si>
    <t>Month Abbreviation</t>
  </si>
  <si>
    <t>On Sheet1 J1 and J2 Drop downs populate the variable aspects of the file paths</t>
  </si>
  <si>
    <t>$G$17</t>
  </si>
  <si>
    <t>$G$11</t>
  </si>
  <si>
    <t>$D$11</t>
  </si>
  <si>
    <t>J:\Retail Finance\Varicent\Reporting\FY16\P08 Reports\[Feb Award File.xls]TS Summ'!$G$17</t>
  </si>
  <si>
    <t>&gt;&gt; This works</t>
  </si>
  <si>
    <t>Text is typed in</t>
  </si>
  <si>
    <t>Figure out how to use a cell reference to refer to file path</t>
  </si>
  <si>
    <t>FIRE</t>
  </si>
  <si>
    <t>Weekday</t>
  </si>
  <si>
    <t>Sunday</t>
  </si>
  <si>
    <t>Monday</t>
  </si>
  <si>
    <t>Tuesday</t>
  </si>
  <si>
    <t>Wednesday</t>
  </si>
  <si>
    <t>Thursday</t>
  </si>
  <si>
    <t>Friday</t>
  </si>
  <si>
    <t>Saturday</t>
  </si>
  <si>
    <t>Month Today</t>
  </si>
  <si>
    <t>Day of Month Today</t>
  </si>
  <si>
    <t>NA Outlet DVPs</t>
  </si>
  <si>
    <t>NA Retail Regional Managers</t>
  </si>
  <si>
    <t>Catherine Levesque</t>
  </si>
  <si>
    <t>Rebecca Marsh</t>
  </si>
  <si>
    <t>Tracey Hache</t>
  </si>
  <si>
    <t>Richard Pullman</t>
  </si>
  <si>
    <t>Rpullman@coach.com</t>
  </si>
  <si>
    <t>Clevesque@coach.com</t>
  </si>
  <si>
    <t>Rmarsh@coach.com</t>
  </si>
  <si>
    <t>Thache@coach.com</t>
  </si>
  <si>
    <t>Automation Notes</t>
  </si>
  <si>
    <t>Email Monthly Award file to the VPs of  Outlet and Retail, copy RF team -Must save Mon Award File as .xlsx</t>
  </si>
  <si>
    <r>
      <t xml:space="preserve">Set up the </t>
    </r>
    <r>
      <rPr>
        <b/>
        <sz val="8"/>
        <color theme="1"/>
        <rFont val="Century Gothic"/>
        <family val="2"/>
      </rPr>
      <t xml:space="preserve">Store Adjustments </t>
    </r>
    <r>
      <rPr>
        <sz val="8"/>
        <color theme="1"/>
        <rFont val="Century Gothic"/>
        <family val="2"/>
      </rPr>
      <t xml:space="preserve">upload file for the Varicent System </t>
    </r>
  </si>
  <si>
    <t>-Email Field HR team (Priscilla Cen)</t>
  </si>
  <si>
    <r>
      <t xml:space="preserve">Update </t>
    </r>
    <r>
      <rPr>
        <b/>
        <sz val="7"/>
        <color theme="1"/>
        <rFont val="Century Gothic"/>
        <family val="2"/>
      </rPr>
      <t>Access Database</t>
    </r>
    <r>
      <rPr>
        <sz val="7"/>
        <color theme="1"/>
        <rFont val="Century Gothic"/>
        <family val="2"/>
      </rPr>
      <t xml:space="preserve"> for hierarchy changes to be uploaded to the system </t>
    </r>
  </si>
  <si>
    <t>-Check that your changes went through by opening the relevant data table</t>
  </si>
  <si>
    <t>Varicent Instruction Manual</t>
  </si>
  <si>
    <t>Send Award File to Field</t>
  </si>
  <si>
    <t>NA Outlet Multi-Managers</t>
  </si>
  <si>
    <t>NA Retail Multi-Managers</t>
  </si>
  <si>
    <t>Estefania Munoz</t>
  </si>
  <si>
    <t>Juliette Bouissou</t>
  </si>
  <si>
    <t>Bquin@Coach.com</t>
  </si>
  <si>
    <t>JDiMarino@Coach.com</t>
  </si>
  <si>
    <t>Emunoz@Coach.com</t>
  </si>
  <si>
    <t>Jbouissou@Coach.com</t>
  </si>
  <si>
    <t>Rpullman@Coach.com</t>
  </si>
  <si>
    <t>Monthly Award File- Store Report and Individual Incentive</t>
  </si>
  <si>
    <t>Make sure the files you're sending out have the correct period's data in them</t>
  </si>
  <si>
    <t>Test for Multiple Sheets</t>
  </si>
  <si>
    <t>Last Year</t>
  </si>
  <si>
    <t>OldMon</t>
  </si>
  <si>
    <t>Workflow is challenging to understand- guide on how to assemble the Accrual?</t>
  </si>
  <si>
    <t>-Pull Teamshare Goals for Retail and Outlet stores from MSTR, save the export file as 'TS Goal.xlsx', leave it open and press the Run TS Goals Button</t>
  </si>
  <si>
    <t>Revisit this step after rest of automation has been implemented</t>
  </si>
  <si>
    <t>Did you send the E-mail to the Field?</t>
  </si>
  <si>
    <t>Betsy McGuire / Caitlin / Katrina / Jen Saunders</t>
  </si>
  <si>
    <t>BMCGUIRE@coach.com; Cjovovich@Coach.com; KFongYing@Coach.com; Jsaunders@Coach.com</t>
  </si>
  <si>
    <t>M.Kos working to generate e-mail that sends these reports via email as an .xlsx attachment</t>
  </si>
  <si>
    <t>Color Code:</t>
  </si>
  <si>
    <t>E-mail to:</t>
  </si>
  <si>
    <t>RF, Systems</t>
  </si>
  <si>
    <t>RF, Capital Team, Mike Mahler’s EA (Irena)</t>
  </si>
  <si>
    <t>Store Adjustments File Manual</t>
  </si>
  <si>
    <t>1st Day of Fiscal Month:</t>
  </si>
  <si>
    <t xml:space="preserve">Last Day of Fiscal Month: </t>
  </si>
  <si>
    <t>Michael may become owner of this process; hide this step</t>
  </si>
  <si>
    <t>Fiscal Start Date</t>
  </si>
  <si>
    <t>Fiscal End Date</t>
  </si>
  <si>
    <t>VM / Payroll</t>
  </si>
  <si>
    <t>HR / Payroll</t>
  </si>
  <si>
    <r>
      <t xml:space="preserve">Confirm that there are no changes to the </t>
    </r>
    <r>
      <rPr>
        <b/>
        <sz val="8"/>
        <color theme="1"/>
        <rFont val="Century Gothic"/>
        <family val="2"/>
      </rPr>
      <t xml:space="preserve">VM hierarchy / structure </t>
    </r>
    <r>
      <rPr>
        <sz val="8"/>
        <color theme="1"/>
        <rFont val="Century Gothic"/>
        <family val="2"/>
      </rPr>
      <t xml:space="preserve">for the purposes of Teamshare payouts </t>
    </r>
    <r>
      <rPr>
        <i/>
        <sz val="8"/>
        <color theme="1"/>
        <rFont val="Century Gothic"/>
        <family val="2"/>
      </rPr>
      <t>e.g. "Are there any new hires on the VM team that would need to be paid Teamshare?"</t>
    </r>
  </si>
  <si>
    <r>
      <t xml:space="preserve">Confirm that there are no changes to the </t>
    </r>
    <r>
      <rPr>
        <b/>
        <sz val="8"/>
        <color theme="1"/>
        <rFont val="Century Gothic"/>
        <family val="2"/>
      </rPr>
      <t>Field hierarchy / structure (AMs, DMs, RMs)</t>
    </r>
    <r>
      <rPr>
        <sz val="8"/>
        <color theme="1"/>
        <rFont val="Century Gothic"/>
        <family val="2"/>
      </rPr>
      <t xml:space="preserve">for the purposes of Teamshare payouts </t>
    </r>
    <r>
      <rPr>
        <i/>
        <sz val="8"/>
        <color theme="1"/>
        <rFont val="Century Gothic"/>
        <family val="2"/>
      </rPr>
      <t>(i.e Maternity Leave, Family Leave, etc.)</t>
    </r>
  </si>
  <si>
    <r>
      <t xml:space="preserve">Confirm that there are no </t>
    </r>
    <r>
      <rPr>
        <b/>
        <sz val="8"/>
        <color theme="1"/>
        <rFont val="Century Gothic"/>
        <family val="2"/>
      </rPr>
      <t>store level</t>
    </r>
    <r>
      <rPr>
        <sz val="8"/>
        <color theme="1"/>
        <rFont val="Century Gothic"/>
        <family val="2"/>
      </rPr>
      <t xml:space="preserve"> changes to the</t>
    </r>
    <r>
      <rPr>
        <b/>
        <sz val="8"/>
        <color theme="1"/>
        <rFont val="Century Gothic"/>
        <family val="2"/>
      </rPr>
      <t xml:space="preserve"> Field hierarchy / structure </t>
    </r>
    <r>
      <rPr>
        <sz val="8"/>
        <color theme="1"/>
        <rFont val="Century Gothic"/>
        <family val="2"/>
      </rPr>
      <t xml:space="preserve">for the purposes of Teamshare payouts </t>
    </r>
    <r>
      <rPr>
        <i/>
        <sz val="8"/>
        <color theme="1"/>
        <rFont val="Century Gothic"/>
        <family val="2"/>
      </rPr>
      <t>e.g "Did a store move out of 1 district and into another?"</t>
    </r>
  </si>
  <si>
    <r>
      <t>Email the Field a reminder email</t>
    </r>
    <r>
      <rPr>
        <sz val="8"/>
        <color theme="1"/>
        <rFont val="Century Gothic"/>
        <family val="2"/>
      </rPr>
      <t xml:space="preserve"> to submit Acting / Additional Bonus Assignments by the 1</t>
    </r>
    <r>
      <rPr>
        <vertAlign val="superscript"/>
        <sz val="8"/>
        <color theme="1"/>
        <rFont val="Century Gothic"/>
        <family val="2"/>
      </rPr>
      <t>st</t>
    </r>
    <r>
      <rPr>
        <sz val="8"/>
        <color theme="1"/>
        <rFont val="Century Gothic"/>
        <family val="2"/>
      </rPr>
      <t xml:space="preserve"> Fiscal Tuesday EoD </t>
    </r>
  </si>
  <si>
    <t>FTP Upload Guide</t>
  </si>
  <si>
    <r>
      <t>Objective:</t>
    </r>
    <r>
      <rPr>
        <sz val="8"/>
        <color theme="1"/>
        <rFont val="Century Gothic"/>
        <family val="2"/>
      </rPr>
      <t xml:space="preserve"> To process Teamshare, Individual Incentive, and Coach Bucks bonuses and upload payouts to the system for every individual in the Field to export via FTP to Varicent for payout</t>
    </r>
  </si>
  <si>
    <t>Did you send / receive an E-mail from Betsy McGuire regarding store level changes to field hierarchy / structure?</t>
  </si>
  <si>
    <t>We need to have a single location to house the Access database so that documents can be linked to the current DB so opening the database can be managed via vba routine</t>
  </si>
  <si>
    <t>The TS Goals file must be updated prior to Monthly Store Targets Being Run</t>
  </si>
  <si>
    <t>Notify Payroll that the TS Goals have been updated on the Network Drive</t>
  </si>
  <si>
    <t>Reminder: Review Monthly Store Targets File with Michelle. Done. A few errors to repair. Done. E-mail should be sent confirming the completion of Final Adjusted TS Goals.</t>
  </si>
  <si>
    <t>Step # 8</t>
  </si>
  <si>
    <t>E-mail Payroll Team Members that the Adjusted TS Goals have been updated in the network (include precise network path of the updated file in e-mail)</t>
  </si>
  <si>
    <t>RF, Payroll</t>
  </si>
  <si>
    <t>Bquin@Coach.com; Mfong@Coach.com</t>
  </si>
  <si>
    <t>E-mail Payroll to notify them that Monthly Teamshare has been finalized in Varicent</t>
  </si>
  <si>
    <t>RF(Migrating to EA's)</t>
  </si>
  <si>
    <t>Contact Persons</t>
  </si>
  <si>
    <t>Payroill Team</t>
  </si>
  <si>
    <t>Payrollteam@coach.com</t>
  </si>
  <si>
    <t>Marlyn Montalvo</t>
  </si>
  <si>
    <t>Mmontalvo@coach.com</t>
  </si>
  <si>
    <t>Tyelise Jamurath</t>
  </si>
  <si>
    <t>Genesis Pared</t>
  </si>
  <si>
    <t>Gpared@coach.com</t>
  </si>
  <si>
    <t>Mardochee Sevaire</t>
  </si>
  <si>
    <t>Msevaire@coach.com</t>
  </si>
  <si>
    <t>Michael Kosloski</t>
  </si>
  <si>
    <t>Mkosloski@Coach.com</t>
  </si>
  <si>
    <t>mfong@coach.com</t>
  </si>
  <si>
    <t>Send Lin Yang of Store Ops the Store Ops Reports</t>
  </si>
  <si>
    <t>-Email VM team lead (Heidi Rogers)</t>
  </si>
  <si>
    <t>Step # 6</t>
  </si>
  <si>
    <t>Step # 7</t>
  </si>
  <si>
    <t>Step # 10</t>
  </si>
  <si>
    <t>Step # 11</t>
  </si>
  <si>
    <t>Step 7- Monthly TS Goals File</t>
  </si>
  <si>
    <t>Step # 9</t>
  </si>
  <si>
    <t>Step # 12 ( A &amp; B)</t>
  </si>
  <si>
    <t>Step # 13</t>
  </si>
  <si>
    <t>rpullman@coach.com</t>
  </si>
  <si>
    <t>Olga &amp; Jane</t>
  </si>
  <si>
    <t>Did you send the Email to Olga and Jane?</t>
  </si>
  <si>
    <t>-Leverage Store Closing List from Richard Pullman to make all necessary adjustments for FULL day closures based on weather, emergencies, etc.</t>
  </si>
  <si>
    <t>hrogers@coach.com;  dpassarelli@coach.com</t>
  </si>
  <si>
    <t>Joanna Strickland</t>
  </si>
  <si>
    <t>jstrickland@coach.com</t>
  </si>
  <si>
    <t>Olga Rivera; Jane Estes; Joanna Strickland</t>
  </si>
  <si>
    <t>Orivera@Coach.com; Jestes@Coach.com; Jstrickland@Coach.com</t>
  </si>
  <si>
    <t>Validation</t>
  </si>
  <si>
    <t>Validation Dashoard for Teamshare</t>
  </si>
  <si>
    <t xml:space="preserve">Run this step to generate the monthly Teamshare Validation Dashboard </t>
  </si>
  <si>
    <t>rf</t>
  </si>
  <si>
    <t>Mmontalvo@Coach.com; Tjamurath@Coach.com; Msevaire@Coach.com;   Gpared@Coach.com; Mzarrella@Coach.com</t>
  </si>
  <si>
    <t>Payroll's Teamshare Award File Process: Week 1</t>
  </si>
  <si>
    <t>Payroll Process</t>
  </si>
  <si>
    <t>Retail Finance Process</t>
  </si>
  <si>
    <t>Contact Person</t>
  </si>
  <si>
    <t>Under Consideration</t>
  </si>
  <si>
    <t>Step # 1</t>
  </si>
  <si>
    <t>Create Directories on the Network Drive</t>
  </si>
  <si>
    <t>Create new folders in the following paths: 
J:/Retail Finance/Varicent/Monthly Varicent Uploads/FY [FY]/P[Period]/[Week 1 &amp; Week2]
J:/Retail Finance/Varicent/Reporting/FY[FY] P[Period] Reports/[Accrual(Week 1) &amp; Store Ops]</t>
  </si>
  <si>
    <t>Payroll</t>
  </si>
  <si>
    <t>Check to see the periods indicated in the right of this page's heading are accurate</t>
  </si>
  <si>
    <t>Richard</t>
  </si>
  <si>
    <t>Retail Finance 1</t>
  </si>
  <si>
    <t>-Email VM team lead  (Heidi Rogers)</t>
  </si>
  <si>
    <t>hrogers@coach.com</t>
  </si>
  <si>
    <t>Retail Finance 2</t>
  </si>
  <si>
    <t>Did you send the Email to Priscilla?</t>
  </si>
  <si>
    <t>Priscilla Cen</t>
  </si>
  <si>
    <t>Pcen@coach.com</t>
  </si>
  <si>
    <t>Retail Finance 3</t>
  </si>
  <si>
    <t>Retail Finance 4</t>
  </si>
  <si>
    <t>Michael or Richard to become owner</t>
  </si>
  <si>
    <t>Check in the Access Database that hierarchy changes have been made, otherwise utilize forms to reflect changes</t>
  </si>
  <si>
    <t>link to varicent instruction manual check~!</t>
  </si>
  <si>
    <t>Retail Finance 5</t>
  </si>
  <si>
    <t>We need to have a single location to house the Access database so that documents can be linked to the current DB</t>
  </si>
  <si>
    <t>Retail Finnance 6</t>
  </si>
  <si>
    <t>Reminder: Potentially change the e-mail wordings in this file so that rfin @ coach isn't the source…</t>
  </si>
  <si>
    <t>Reminder: Obtain approval for Payroll team e-mail inbox (most likely) to send to The DVP's and RM's &lt;&lt;</t>
  </si>
  <si>
    <t>Reminder: Don't send out the new form until it's been approved.</t>
  </si>
  <si>
    <t>-Respond to submissions to confirm receipt (optional)</t>
  </si>
  <si>
    <r>
      <t xml:space="preserve">Set up the </t>
    </r>
    <r>
      <rPr>
        <b/>
        <sz val="7"/>
        <color theme="1"/>
        <rFont val="Century Gothic"/>
        <family val="2"/>
      </rPr>
      <t xml:space="preserve">SAP </t>
    </r>
    <r>
      <rPr>
        <sz val="7"/>
        <color theme="1"/>
        <rFont val="Century Gothic"/>
        <family val="2"/>
      </rPr>
      <t xml:space="preserve">upload file for Varicent System  </t>
    </r>
  </si>
  <si>
    <r>
      <t>-Confirm with Erica Williams / Julie Leone / Store Accounting that sales have been finalized in SAP</t>
    </r>
    <r>
      <rPr>
        <u/>
        <sz val="7"/>
        <color theme="1"/>
        <rFont val="Century Gothic"/>
        <family val="2"/>
      </rPr>
      <t xml:space="preserve"> </t>
    </r>
    <r>
      <rPr>
        <b/>
        <u/>
        <sz val="7"/>
        <color theme="1"/>
        <rFont val="Century Gothic"/>
        <family val="2"/>
      </rPr>
      <t>pre</t>
    </r>
    <r>
      <rPr>
        <sz val="7"/>
        <color theme="1"/>
        <rFont val="Century Gothic"/>
        <family val="2"/>
      </rPr>
      <t xml:space="preserve"> HSQ and Canada adjustments  </t>
    </r>
  </si>
  <si>
    <t>Erica Williams</t>
  </si>
  <si>
    <t>EWilliams1@coach.com</t>
  </si>
  <si>
    <t>-Once confirmed, pull sales down in SAP using Hyperlinked document as a guide</t>
  </si>
  <si>
    <t>&gt;&gt; Manual Process &gt;&gt;</t>
  </si>
  <si>
    <t>Step 2b- Setup the SAP Upload File</t>
  </si>
  <si>
    <t>Julie Leone</t>
  </si>
  <si>
    <t>Jleone@coach.com</t>
  </si>
  <si>
    <t>-Reformat sales by making them positive values from SAP  (Macro Does this)</t>
  </si>
  <si>
    <t>-Paste values into the SAP upload file (Macro Does this)</t>
  </si>
  <si>
    <t>-Drop into SAP upload file to flow to Month Store Targets file (Macro copies worksheet into Monthly Store Targets File)</t>
  </si>
  <si>
    <t>Megan Corbett</t>
  </si>
  <si>
    <t>Mcorbett@Coach.com</t>
  </si>
  <si>
    <t>-Sort with 7300 Vancouver and 2557 Herald Square at the top and any dummy store codes that pull an #N/A (Macro does this)</t>
  </si>
  <si>
    <t>-Pull 7300 and 2557 in MSTR to confirm that SAP sales numbers are pre adjustment (Good idea)</t>
  </si>
  <si>
    <t>Step # 3</t>
  </si>
  <si>
    <r>
      <t xml:space="preserve">Set up the </t>
    </r>
    <r>
      <rPr>
        <b/>
        <sz val="9"/>
        <color theme="1"/>
        <rFont val="Century Gothic"/>
        <family val="2"/>
      </rPr>
      <t>IR Returns</t>
    </r>
    <r>
      <rPr>
        <sz val="9"/>
        <color theme="1"/>
        <rFont val="Century Gothic"/>
        <family val="2"/>
      </rPr>
      <t xml:space="preserve"> upload file for Varicent System </t>
    </r>
  </si>
  <si>
    <t xml:space="preserve">-Spoorthi Reddy (from BI / Aldwin Dequito’s Team) will send IR Returns data on Monday </t>
  </si>
  <si>
    <t>BI</t>
  </si>
  <si>
    <r>
      <t xml:space="preserve">-After the report is sent, close out of Excel, and run the FindSpoorthiReport_Save Macro in </t>
    </r>
    <r>
      <rPr>
        <b/>
        <u/>
        <sz val="8"/>
        <color theme="1"/>
        <rFont val="Century Gothic"/>
        <family val="2"/>
      </rPr>
      <t>Outlook,</t>
    </r>
  </si>
  <si>
    <t>-Ensure the Return_AMT check is tied out in the '[Mon] IR Returns.xlsx' file in the Week 1 folder of the corresponding period's Monthly Varicent Uploads Folder</t>
  </si>
  <si>
    <t>RE 1</t>
  </si>
  <si>
    <t>The Store Adjustments must be updated prior to Monthly Store Targets Being Run</t>
  </si>
  <si>
    <t>-Leverage Store Closing List from Mike Mahler’s EA to make all necessary adjustments for FULL day closures based on weather, emergencies, etc.</t>
  </si>
  <si>
    <t>RE 2</t>
  </si>
  <si>
    <t>Process Documentation\Step 8- Monthly TS Goals File.docx</t>
  </si>
  <si>
    <t>Store Adjustments need to be modified in the event we cut teamshare goals off prior to the end of the fiscal period</t>
  </si>
  <si>
    <t>Step # 4</t>
  </si>
  <si>
    <r>
      <t xml:space="preserve">Set up the </t>
    </r>
    <r>
      <rPr>
        <b/>
        <sz val="7"/>
        <color theme="1"/>
        <rFont val="Century Gothic"/>
        <family val="2"/>
      </rPr>
      <t>Monthly Store Targets</t>
    </r>
    <r>
      <rPr>
        <sz val="7"/>
        <color theme="1"/>
        <rFont val="Century Gothic"/>
        <family val="2"/>
      </rPr>
      <t xml:space="preserve"> upload file for Varicent System </t>
    </r>
  </si>
  <si>
    <t>-Confirm that all linked files are correct - running the Make Directories Macro (Step 0 at bottom of page) will generate the files</t>
  </si>
  <si>
    <t>Pending Completion</t>
  </si>
  <si>
    <t>Confirm that Retail Finance has updated the TS Goal.xlsx file prior to running this step</t>
  </si>
  <si>
    <t>Reminder: Review Monthly Store Targets File with Michelle</t>
  </si>
  <si>
    <t>-Once all columns are checked, ensure that CAN Stores have their sales and Outlet returns converted to CAD (manual adjustment highlighted in yellow)</t>
  </si>
  <si>
    <r>
      <t xml:space="preserve">Set up the </t>
    </r>
    <r>
      <rPr>
        <b/>
        <sz val="7"/>
        <color theme="1"/>
        <rFont val="Century Gothic"/>
        <family val="2"/>
      </rPr>
      <t xml:space="preserve">Store Level Override </t>
    </r>
    <r>
      <rPr>
        <sz val="7"/>
        <color theme="1"/>
        <rFont val="Century Gothic"/>
        <family val="2"/>
      </rPr>
      <t>upload file for the Varicent System (.CSV file)</t>
    </r>
  </si>
  <si>
    <t xml:space="preserve">-If special exceptions have been granted, or stores need to be issued a Level 1 per the pilot pre / post analyses, override their Level in this upload </t>
  </si>
  <si>
    <t>Step # 5</t>
  </si>
  <si>
    <t xml:space="preserve">Upload .CSV files to FTP to upload to Varicent Production Model </t>
  </si>
  <si>
    <t>-Upload files to Varicent Production Model using the Varicent Manual</t>
  </si>
  <si>
    <t>The Monthly Store Targets Macro Generates this File</t>
  </si>
  <si>
    <t>Create a macro to automate generation of Monthly Store Targets .csv file; should be part of Monthly Store Targets Template.</t>
  </si>
  <si>
    <t>Add video of the downloading of the Store Award File for reference</t>
  </si>
  <si>
    <t>Varicent Report Processing Guide</t>
  </si>
  <si>
    <t xml:space="preserve">-Store Award File </t>
  </si>
  <si>
    <t>-Contest Award File (if Nov / Dec)</t>
  </si>
  <si>
    <t>-Individual Incentive and Coach Bucks Award File</t>
  </si>
  <si>
    <t xml:space="preserve">-FY16 Accrual Summary </t>
  </si>
  <si>
    <t xml:space="preserve">-Check the eligible store count for both channels against Real Estate changes, ensure the change from month to month is valid  </t>
  </si>
  <si>
    <t xml:space="preserve">-Accruals Report  </t>
  </si>
  <si>
    <t xml:space="preserve">-Spot check the Award File for any Store Level Overrides </t>
  </si>
  <si>
    <t>-Contest Accruals Report (if Nov / Dec)</t>
  </si>
  <si>
    <t xml:space="preserve">-US and CAD Payroll Export </t>
  </si>
  <si>
    <t xml:space="preserve">-Level by Store Volume Ranking </t>
  </si>
  <si>
    <r>
      <t>Format and send all</t>
    </r>
    <r>
      <rPr>
        <b/>
        <sz val="7"/>
        <color theme="1"/>
        <rFont val="Century Gothic"/>
        <family val="2"/>
      </rPr>
      <t xml:space="preserve"> Store Ops reports </t>
    </r>
    <r>
      <rPr>
        <sz val="7"/>
        <color theme="1"/>
        <rFont val="Century Gothic"/>
        <family val="2"/>
      </rPr>
      <t xml:space="preserve">to Store Ops for the Weekly Transmittal </t>
    </r>
  </si>
  <si>
    <t xml:space="preserve">Check final Payroll export to ensure that Manual Payments and combined arrangements are properly reflected </t>
  </si>
  <si>
    <t>Manual</t>
  </si>
  <si>
    <r>
      <t xml:space="preserve">Email Payroll Team when Varicent is finalized </t>
    </r>
    <r>
      <rPr>
        <sz val="7"/>
        <color theme="1"/>
        <rFont val="Century Gothic"/>
        <family val="2"/>
      </rPr>
      <t xml:space="preserve">Tuesday evening. List stores that have permanently or temp closed </t>
    </r>
  </si>
  <si>
    <r>
      <t xml:space="preserve">List stores that have closed </t>
    </r>
    <r>
      <rPr>
        <b/>
        <u/>
        <sz val="7"/>
        <color theme="1"/>
        <rFont val="Century Gothic"/>
        <family val="2"/>
      </rPr>
      <t>prior</t>
    </r>
    <r>
      <rPr>
        <sz val="7"/>
        <color theme="1"/>
        <rFont val="Century Gothic"/>
        <family val="2"/>
      </rPr>
      <t xml:space="preserve"> to payout date so that Payroll can ensure that terminated employees still receive their Teamshare bonuses </t>
    </r>
  </si>
  <si>
    <t xml:space="preserve">RF, Payroll </t>
  </si>
  <si>
    <t>Setup Auto E-mail</t>
  </si>
  <si>
    <t>Re-processing the results due to errors in the system or data, late requests, etc.</t>
  </si>
  <si>
    <t>NA</t>
  </si>
  <si>
    <t>Week 1-5 (On-going)</t>
  </si>
  <si>
    <t xml:space="preserve">Coach Connect Correspondence </t>
  </si>
  <si>
    <t>RF, Coach Connect</t>
  </si>
  <si>
    <t xml:space="preserve">Additional questions and outreach from partners </t>
  </si>
  <si>
    <t>Moving to CC w/ Super Report</t>
  </si>
  <si>
    <t>GS1</t>
  </si>
  <si>
    <t>Laura Grandhi</t>
  </si>
  <si>
    <t>Lgrandhi@coach.com</t>
  </si>
  <si>
    <t>GS 2</t>
  </si>
  <si>
    <t>Lgrandhi@Coach.com</t>
  </si>
  <si>
    <t>Mfong@Coach.com</t>
  </si>
  <si>
    <t>Retail Admin Teamshare Award File Process</t>
  </si>
  <si>
    <t>This is handled by R&amp;O Admin</t>
  </si>
  <si>
    <t>This must be run before any data files can be generated</t>
  </si>
  <si>
    <r>
      <t xml:space="preserve">Confirm that there are no changes to the </t>
    </r>
    <r>
      <rPr>
        <b/>
        <sz val="8"/>
        <color theme="1"/>
        <rFont val="Helvetica"/>
        <family val="2"/>
      </rPr>
      <t xml:space="preserve">VM hierarchy / structure </t>
    </r>
    <r>
      <rPr>
        <sz val="8"/>
        <color theme="1"/>
        <rFont val="Helvetica"/>
        <family val="2"/>
      </rPr>
      <t xml:space="preserve">for the purposes of Teamshare payouts </t>
    </r>
    <r>
      <rPr>
        <i/>
        <sz val="8"/>
        <color theme="1"/>
        <rFont val="Helvetica"/>
        <family val="2"/>
      </rPr>
      <t>e.g. "Are there any new hires on the VM team that would need to be paid Teamshare?"</t>
    </r>
  </si>
  <si>
    <r>
      <t xml:space="preserve">Confirm that there are no changes to the </t>
    </r>
    <r>
      <rPr>
        <b/>
        <sz val="8"/>
        <color theme="1"/>
        <rFont val="Helvetica"/>
        <family val="2"/>
      </rPr>
      <t>Field hierarchy / structure (AMs, DMs, RMs)</t>
    </r>
    <r>
      <rPr>
        <sz val="8"/>
        <color theme="1"/>
        <rFont val="Helvetica"/>
        <family val="2"/>
      </rPr>
      <t xml:space="preserve">for the purposes of Teamshare payouts </t>
    </r>
    <r>
      <rPr>
        <i/>
        <sz val="8"/>
        <color theme="1"/>
        <rFont val="Helvetica"/>
        <family val="2"/>
      </rPr>
      <t>(i.e Maternity Leave, Family Leave, etc.)</t>
    </r>
  </si>
  <si>
    <r>
      <t xml:space="preserve">Confirm that there are no </t>
    </r>
    <r>
      <rPr>
        <b/>
        <sz val="8"/>
        <color theme="1"/>
        <rFont val="Helvetica"/>
        <family val="2"/>
      </rPr>
      <t>store level</t>
    </r>
    <r>
      <rPr>
        <sz val="8"/>
        <color theme="1"/>
        <rFont val="Helvetica"/>
        <family val="2"/>
      </rPr>
      <t xml:space="preserve"> changes to the</t>
    </r>
    <r>
      <rPr>
        <b/>
        <sz val="8"/>
        <color theme="1"/>
        <rFont val="Helvetica"/>
        <family val="2"/>
      </rPr>
      <t xml:space="preserve"> Field hierarchy / structure </t>
    </r>
    <r>
      <rPr>
        <sz val="8"/>
        <color theme="1"/>
        <rFont val="Helvetica"/>
        <family val="2"/>
      </rPr>
      <t xml:space="preserve">for the purposes of Teamshare payouts </t>
    </r>
    <r>
      <rPr>
        <i/>
        <sz val="8"/>
        <color theme="1"/>
        <rFont val="Helvetica"/>
        <family val="2"/>
      </rPr>
      <t>e.g "Did a store move out of 1 district and into another?"</t>
    </r>
  </si>
  <si>
    <r>
      <t>Objective:</t>
    </r>
    <r>
      <rPr>
        <sz val="8"/>
        <color theme="1"/>
        <rFont val="Helvetica"/>
        <family val="2"/>
      </rPr>
      <t xml:space="preserve"> To process Teamshare, Individual Incentive, and Coach Bucks bonuses and upload payouts to the system for every individual in the Field to export via FTP to Varicent for payout</t>
    </r>
  </si>
  <si>
    <r>
      <t>Corporate teams with process ownership:</t>
    </r>
    <r>
      <rPr>
        <sz val="8"/>
        <color theme="1"/>
        <rFont val="Helvetica"/>
        <family val="2"/>
      </rPr>
      <t xml:space="preserve"> Retail Finance (RF), Payroll Systems (Systems), Payroll, Coach Connect, the Field, Store Accounting, VM, BI  </t>
    </r>
  </si>
  <si>
    <t>RF, Store Accounting</t>
  </si>
  <si>
    <t>This process is handled by Jen DiMarino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</si>
</sst>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;@"/>
  </numFmts>
  <fonts count="47" x14ac:knownFonts="1">
    <font>
      <sz val="11"/>
      <color theme="1"/>
      <name val="Calibri"/>
      <family val="2"/>
      <scheme val="minor"/>
    </font>
    <font>
      <b/>
      <sz val="7"/>
      <color theme="1"/>
      <name val="Century Gothic"/>
      <family val="2"/>
    </font>
    <font>
      <sz val="7"/>
      <color theme="1"/>
      <name val="Century Gothic"/>
      <family val="2"/>
    </font>
    <font>
      <b/>
      <sz val="8"/>
      <color theme="1"/>
      <name val="Century Gothic"/>
      <family val="2"/>
    </font>
    <font>
      <sz val="8"/>
      <color theme="1"/>
      <name val="Century Gothic"/>
      <family val="2"/>
    </font>
    <font>
      <u/>
      <sz val="7"/>
      <color rgb="FF0070C0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entury Gothic"/>
      <family val="2"/>
    </font>
    <font>
      <sz val="11"/>
      <color rgb="FFFF0000"/>
      <name val="Calibri"/>
      <family val="2"/>
      <scheme val="minor"/>
    </font>
    <font>
      <sz val="11"/>
      <color theme="0" tint="-0.149967955565050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sz val="7"/>
      <name val="Century Gothic"/>
      <family val="2"/>
    </font>
    <font>
      <sz val="11"/>
      <color theme="0"/>
      <name val="Calibri"/>
      <family val="2"/>
      <scheme val="minor"/>
    </font>
    <font>
      <b/>
      <sz val="18"/>
      <color theme="1"/>
      <name val="Cambria"/>
      <family val="1"/>
    </font>
    <font>
      <i/>
      <sz val="8"/>
      <color theme="1"/>
      <name val="Century Gothic"/>
      <family val="2"/>
    </font>
    <font>
      <vertAlign val="superscript"/>
      <sz val="8"/>
      <color theme="1"/>
      <name val="Century Gothic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8"/>
      <color rgb="FF000000"/>
      <name val="Tahoma"/>
      <family val="2"/>
    </font>
    <font>
      <u/>
      <sz val="10"/>
      <color theme="10"/>
      <name val="Calibri"/>
      <family val="2"/>
      <scheme val="minor"/>
    </font>
    <font>
      <u/>
      <sz val="7"/>
      <color theme="1"/>
      <name val="Century Gothic"/>
      <family val="2"/>
    </font>
    <font>
      <b/>
      <u/>
      <sz val="7"/>
      <color theme="1"/>
      <name val="Century Gothic"/>
      <family val="2"/>
    </font>
    <font>
      <b/>
      <sz val="9"/>
      <color theme="1"/>
      <name val="Century Gothic"/>
      <family val="2"/>
    </font>
    <font>
      <b/>
      <u/>
      <sz val="8"/>
      <color theme="1"/>
      <name val="Century Gothic"/>
      <family val="2"/>
    </font>
    <font>
      <u/>
      <sz val="11"/>
      <color theme="10"/>
      <name val="Century Gothic"/>
      <family val="2"/>
    </font>
    <font>
      <b/>
      <sz val="11"/>
      <color theme="1"/>
      <name val="Century Gothic"/>
      <family val="2"/>
    </font>
    <font>
      <sz val="22"/>
      <color theme="1"/>
      <name val="Century Gothic"/>
      <family val="2"/>
    </font>
    <font>
      <b/>
      <sz val="11"/>
      <color theme="1"/>
      <name val="BrowalliaUPC"/>
      <family val="2"/>
    </font>
    <font>
      <sz val="8"/>
      <color theme="1"/>
      <name val="Helvetica"/>
      <family val="2"/>
    </font>
    <font>
      <sz val="11"/>
      <color theme="1"/>
      <name val="Helvetica"/>
      <family val="2"/>
    </font>
    <font>
      <b/>
      <sz val="8"/>
      <color theme="1"/>
      <name val="Helvetica"/>
      <family val="2"/>
    </font>
    <font>
      <i/>
      <sz val="8"/>
      <color theme="1"/>
      <name val="Helvetica"/>
      <family val="2"/>
    </font>
    <font>
      <u/>
      <sz val="8"/>
      <color theme="10"/>
      <name val="Helvetica"/>
      <family val="2"/>
    </font>
    <font>
      <b/>
      <sz val="18"/>
      <color theme="1"/>
      <name val="Helvetica"/>
      <family val="2"/>
    </font>
    <font>
      <sz val="11"/>
      <color theme="1" tint="0.34998626667073579"/>
      <name val="Helvetica"/>
      <family val="2"/>
    </font>
    <font>
      <sz val="11"/>
      <color theme="0" tint="-0.14996795556505021"/>
      <name val="Helvetica"/>
      <family val="2"/>
    </font>
    <font>
      <sz val="10"/>
      <color theme="1"/>
      <name val="Helvetica"/>
      <family val="2"/>
    </font>
    <font>
      <sz val="10"/>
      <name val="Century Gothic"/>
      <family val="2"/>
    </font>
    <font>
      <b/>
      <sz val="10"/>
      <color theme="1"/>
      <name val="Century Gothic"/>
      <family val="2"/>
    </font>
  </fonts>
  <fills count="1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9" tint="0.80001220740379042"/>
        </stop>
      </gradientFill>
    </fill>
    <fill>
      <patternFill patternType="solid">
        <fgColor theme="0"/>
        <bgColor auto="1"/>
      </patternFill>
    </fill>
    <fill>
      <gradientFill degree="45">
        <stop position="0">
          <color theme="0"/>
        </stop>
        <stop position="1">
          <color theme="8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490">
    <xf numFmtId="0" fontId="0" fillId="0" borderId="0" xfId="0"/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0" fillId="0" borderId="5" xfId="0" applyBorder="1" applyAlignment="1">
      <alignment vertical="top" wrapText="1"/>
    </xf>
    <xf numFmtId="0" fontId="1" fillId="0" borderId="5" xfId="0" applyFont="1" applyBorder="1" applyAlignment="1">
      <alignment vertical="center" wrapText="1"/>
    </xf>
    <xf numFmtId="0" fontId="0" fillId="0" borderId="7" xfId="0" applyBorder="1" applyAlignment="1">
      <alignment vertical="top" wrapText="1"/>
    </xf>
    <xf numFmtId="0" fontId="2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4" borderId="5" xfId="1" quotePrefix="1" applyFill="1" applyBorder="1" applyAlignment="1">
      <alignment vertical="center" wrapText="1"/>
    </xf>
    <xf numFmtId="0" fontId="0" fillId="6" borderId="9" xfId="0" applyFill="1" applyBorder="1" applyAlignment="1">
      <alignment horizontal="center" vertical="center"/>
    </xf>
    <xf numFmtId="0" fontId="6" fillId="0" borderId="5" xfId="1" quotePrefix="1" applyBorder="1" applyAlignment="1">
      <alignment vertical="center" wrapText="1"/>
    </xf>
    <xf numFmtId="0" fontId="6" fillId="4" borderId="7" xfId="1" quotePrefix="1" applyFill="1" applyBorder="1" applyAlignment="1">
      <alignment vertical="center" wrapText="1"/>
    </xf>
    <xf numFmtId="0" fontId="6" fillId="4" borderId="6" xfId="1" quotePrefix="1" applyFill="1" applyBorder="1" applyAlignment="1">
      <alignment vertical="center" wrapText="1"/>
    </xf>
    <xf numFmtId="164" fontId="0" fillId="0" borderId="0" xfId="2" applyNumberFormat="1" applyFont="1"/>
    <xf numFmtId="0" fontId="0" fillId="9" borderId="0" xfId="0" applyFill="1"/>
    <xf numFmtId="0" fontId="6" fillId="4" borderId="1" xfId="1" quotePrefix="1" applyFill="1" applyBorder="1" applyAlignment="1">
      <alignment vertical="center" wrapText="1"/>
    </xf>
    <xf numFmtId="0" fontId="2" fillId="4" borderId="3" xfId="0" applyFont="1" applyFill="1" applyBorder="1" applyAlignment="1">
      <alignment vertical="center" wrapText="1"/>
    </xf>
    <xf numFmtId="0" fontId="5" fillId="0" borderId="8" xfId="0" quotePrefix="1" applyFont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vertical="center" wrapText="1"/>
    </xf>
    <xf numFmtId="0" fontId="6" fillId="0" borderId="4" xfId="1" quotePrefix="1" applyBorder="1" applyAlignment="1">
      <alignment vertical="center" wrapText="1"/>
    </xf>
    <xf numFmtId="0" fontId="6" fillId="0" borderId="17" xfId="1" applyBorder="1"/>
    <xf numFmtId="0" fontId="6" fillId="0" borderId="18" xfId="1" applyBorder="1"/>
    <xf numFmtId="0" fontId="0" fillId="5" borderId="0" xfId="0" applyFill="1" applyBorder="1"/>
    <xf numFmtId="0" fontId="10" fillId="0" borderId="9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vertical="center" wrapText="1"/>
    </xf>
    <xf numFmtId="0" fontId="12" fillId="4" borderId="6" xfId="0" applyFont="1" applyFill="1" applyBorder="1" applyAlignment="1">
      <alignment vertical="center" wrapText="1"/>
    </xf>
    <xf numFmtId="0" fontId="6" fillId="10" borderId="5" xfId="1" quotePrefix="1" applyFill="1" applyBorder="1" applyAlignment="1">
      <alignment vertical="center" wrapText="1"/>
    </xf>
    <xf numFmtId="0" fontId="8" fillId="10" borderId="1" xfId="0" applyFont="1" applyFill="1" applyBorder="1" applyAlignment="1">
      <alignment vertical="center" wrapText="1"/>
    </xf>
    <xf numFmtId="0" fontId="12" fillId="10" borderId="1" xfId="0" applyFont="1" applyFill="1" applyBorder="1" applyAlignment="1">
      <alignment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>
      <alignment vertical="center" wrapText="1"/>
    </xf>
    <xf numFmtId="165" fontId="3" fillId="5" borderId="11" xfId="0" applyNumberFormat="1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vertical="center" wrapText="1"/>
    </xf>
    <xf numFmtId="0" fontId="0" fillId="5" borderId="0" xfId="0" applyFill="1"/>
    <xf numFmtId="0" fontId="0" fillId="5" borderId="0" xfId="0" quotePrefix="1" applyFill="1" applyAlignment="1">
      <alignment vertical="center" wrapText="1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16" fillId="5" borderId="0" xfId="0" applyFont="1" applyFill="1"/>
    <xf numFmtId="14" fontId="16" fillId="5" borderId="0" xfId="0" applyNumberFormat="1" applyFont="1" applyFill="1"/>
    <xf numFmtId="0" fontId="1" fillId="3" borderId="1" xfId="0" applyFont="1" applyFill="1" applyBorder="1" applyAlignment="1">
      <alignment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vertical="center" wrapText="1"/>
    </xf>
    <xf numFmtId="0" fontId="0" fillId="5" borderId="13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0" xfId="0" applyFill="1" applyAlignment="1">
      <alignment horizontal="center"/>
    </xf>
    <xf numFmtId="0" fontId="0" fillId="5" borderId="17" xfId="0" applyFill="1" applyBorder="1"/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5" borderId="11" xfId="0" applyFill="1" applyBorder="1"/>
    <xf numFmtId="0" fontId="0" fillId="5" borderId="11" xfId="0" applyFill="1" applyBorder="1" applyAlignment="1">
      <alignment vertical="center" wrapText="1"/>
    </xf>
    <xf numFmtId="0" fontId="0" fillId="5" borderId="13" xfId="0" applyFill="1" applyBorder="1" applyAlignment="1"/>
    <xf numFmtId="0" fontId="12" fillId="4" borderId="7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1" fillId="3" borderId="1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0" fillId="5" borderId="26" xfId="0" applyFill="1" applyBorder="1" applyAlignment="1">
      <alignment vertical="center" wrapText="1"/>
    </xf>
    <xf numFmtId="0" fontId="0" fillId="5" borderId="2" xfId="0" applyFill="1" applyBorder="1" applyAlignment="1">
      <alignment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3" xfId="0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6" fillId="0" borderId="7" xfId="1" quotePrefix="1" applyBorder="1" applyAlignment="1">
      <alignment vertical="center" wrapText="1"/>
    </xf>
    <xf numFmtId="0" fontId="2" fillId="0" borderId="7" xfId="0" applyFont="1" applyBorder="1" applyAlignment="1">
      <alignment horizontal="center" vertical="center" wrapText="1"/>
    </xf>
    <xf numFmtId="0" fontId="2" fillId="5" borderId="6" xfId="0" applyFont="1" applyFill="1" applyBorder="1" applyAlignment="1">
      <alignment vertical="center" wrapText="1"/>
    </xf>
    <xf numFmtId="0" fontId="6" fillId="5" borderId="7" xfId="1" quotePrefix="1" applyFill="1" applyBorder="1" applyAlignment="1">
      <alignment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6" fillId="5" borderId="6" xfId="1" quotePrefix="1" applyFill="1" applyBorder="1" applyAlignment="1">
      <alignment vertical="center" wrapText="1"/>
    </xf>
    <xf numFmtId="0" fontId="2" fillId="5" borderId="3" xfId="0" applyFont="1" applyFill="1" applyBorder="1" applyAlignment="1">
      <alignment vertical="center" wrapText="1"/>
    </xf>
    <xf numFmtId="0" fontId="6" fillId="5" borderId="3" xfId="1" quotePrefix="1" applyFill="1" applyBorder="1" applyAlignment="1">
      <alignment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15" borderId="6" xfId="1" applyFill="1" applyBorder="1"/>
    <xf numFmtId="0" fontId="6" fillId="15" borderId="3" xfId="1" applyFill="1" applyBorder="1"/>
    <xf numFmtId="0" fontId="0" fillId="5" borderId="16" xfId="0" applyFill="1" applyBorder="1"/>
    <xf numFmtId="0" fontId="0" fillId="5" borderId="20" xfId="0" applyFill="1" applyBorder="1"/>
    <xf numFmtId="0" fontId="0" fillId="5" borderId="4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18" xfId="0" applyFill="1" applyBorder="1"/>
    <xf numFmtId="0" fontId="0" fillId="5" borderId="8" xfId="0" applyFill="1" applyBorder="1"/>
    <xf numFmtId="0" fontId="0" fillId="5" borderId="5" xfId="0" applyFill="1" applyBorder="1" applyAlignment="1">
      <alignment horizontal="center" vertical="center"/>
    </xf>
    <xf numFmtId="0" fontId="2" fillId="0" borderId="2" xfId="0" applyFont="1" applyBorder="1" applyAlignment="1">
      <alignment vertical="center" wrapText="1"/>
    </xf>
    <xf numFmtId="0" fontId="0" fillId="0" borderId="30" xfId="0" applyBorder="1" applyAlignment="1">
      <alignment horizontal="center" vertical="center"/>
    </xf>
    <xf numFmtId="0" fontId="0" fillId="5" borderId="0" xfId="0" applyFill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2" fillId="16" borderId="0" xfId="0" applyFont="1" applyFill="1" applyBorder="1" applyAlignment="1">
      <alignment horizontal="center" vertical="center" wrapText="1"/>
    </xf>
    <xf numFmtId="0" fontId="2" fillId="16" borderId="0" xfId="0" applyFont="1" applyFill="1" applyBorder="1" applyAlignment="1">
      <alignment vertical="center" wrapText="1"/>
    </xf>
    <xf numFmtId="0" fontId="5" fillId="16" borderId="0" xfId="0" quotePrefix="1" applyFont="1" applyFill="1" applyBorder="1" applyAlignment="1">
      <alignment vertical="center" wrapText="1"/>
    </xf>
    <xf numFmtId="0" fontId="5" fillId="16" borderId="19" xfId="0" quotePrefix="1" applyFont="1" applyFill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vertical="center" wrapText="1"/>
    </xf>
    <xf numFmtId="0" fontId="14" fillId="14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5" xfId="0" applyFont="1" applyFill="1" applyBorder="1" applyAlignment="1">
      <alignment horizontal="center" vertical="center" wrapText="1"/>
    </xf>
    <xf numFmtId="9" fontId="4" fillId="14" borderId="5" xfId="2" applyFont="1" applyFill="1" applyBorder="1" applyAlignment="1">
      <alignment vertical="center" wrapText="1"/>
    </xf>
    <xf numFmtId="0" fontId="2" fillId="14" borderId="5" xfId="0" quotePrefix="1" applyFont="1" applyFill="1" applyBorder="1" applyAlignment="1">
      <alignment vertical="center" wrapText="1"/>
    </xf>
    <xf numFmtId="0" fontId="2" fillId="14" borderId="5" xfId="0" quotePrefix="1" applyFont="1" applyFill="1" applyBorder="1" applyAlignment="1">
      <alignment horizontal="center" vertical="center"/>
    </xf>
    <xf numFmtId="0" fontId="8" fillId="14" borderId="5" xfId="0" quotePrefix="1" applyFont="1" applyFill="1" applyBorder="1" applyAlignment="1">
      <alignment horizontal="center" vertical="center" wrapText="1"/>
    </xf>
    <xf numFmtId="0" fontId="6" fillId="14" borderId="5" xfId="1" quotePrefix="1" applyFill="1" applyBorder="1" applyAlignment="1">
      <alignment vertical="center" wrapText="1"/>
    </xf>
    <xf numFmtId="0" fontId="0" fillId="14" borderId="1" xfId="0" applyFill="1" applyBorder="1" applyAlignment="1">
      <alignment horizontal="center" vertical="center"/>
    </xf>
    <xf numFmtId="0" fontId="4" fillId="14" borderId="5" xfId="0" applyFont="1" applyFill="1" applyBorder="1" applyAlignment="1">
      <alignment vertical="center" wrapText="1"/>
    </xf>
    <xf numFmtId="0" fontId="2" fillId="14" borderId="5" xfId="0" applyFont="1" applyFill="1" applyBorder="1" applyAlignment="1">
      <alignment vertical="center" wrapText="1"/>
    </xf>
    <xf numFmtId="0" fontId="8" fillId="14" borderId="5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vertical="center" wrapText="1"/>
    </xf>
    <xf numFmtId="0" fontId="2" fillId="14" borderId="1" xfId="0" applyFont="1" applyFill="1" applyBorder="1" applyAlignment="1">
      <alignment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8" fillId="14" borderId="1" xfId="0" applyFont="1" applyFill="1" applyBorder="1" applyAlignment="1">
      <alignment horizontal="center" vertical="center" wrapText="1"/>
    </xf>
    <xf numFmtId="0" fontId="2" fillId="14" borderId="7" xfId="0" applyFont="1" applyFill="1" applyBorder="1" applyAlignment="1">
      <alignment vertical="center" wrapText="1"/>
    </xf>
    <xf numFmtId="0" fontId="2" fillId="14" borderId="7" xfId="0" quotePrefix="1" applyFont="1" applyFill="1" applyBorder="1" applyAlignment="1">
      <alignment vertical="center" wrapText="1"/>
    </xf>
    <xf numFmtId="0" fontId="12" fillId="14" borderId="1" xfId="0" applyFont="1" applyFill="1" applyBorder="1" applyAlignment="1">
      <alignment vertical="center" wrapText="1"/>
    </xf>
    <xf numFmtId="0" fontId="8" fillId="14" borderId="1" xfId="0" applyFont="1" applyFill="1" applyBorder="1" applyAlignment="1">
      <alignment vertical="center" wrapText="1"/>
    </xf>
    <xf numFmtId="0" fontId="0" fillId="14" borderId="13" xfId="0" applyFill="1" applyBorder="1" applyAlignment="1">
      <alignment horizontal="center" vertical="center" wrapText="1"/>
    </xf>
    <xf numFmtId="0" fontId="12" fillId="14" borderId="7" xfId="0" applyFont="1" applyFill="1" applyBorder="1" applyAlignment="1">
      <alignment vertical="center" wrapText="1"/>
    </xf>
    <xf numFmtId="0" fontId="12" fillId="14" borderId="6" xfId="0" applyFont="1" applyFill="1" applyBorder="1" applyAlignment="1">
      <alignment horizontal="center" vertical="center" wrapText="1"/>
    </xf>
    <xf numFmtId="0" fontId="0" fillId="14" borderId="13" xfId="0" applyFill="1" applyBorder="1"/>
    <xf numFmtId="0" fontId="6" fillId="14" borderId="6" xfId="1" quotePrefix="1" applyFill="1" applyBorder="1" applyAlignment="1">
      <alignment vertical="center" wrapText="1"/>
    </xf>
    <xf numFmtId="0" fontId="0" fillId="14" borderId="26" xfId="0" applyFill="1" applyBorder="1"/>
    <xf numFmtId="0" fontId="6" fillId="14" borderId="1" xfId="1" quotePrefix="1" applyFill="1" applyBorder="1" applyAlignment="1">
      <alignment vertical="center" wrapText="1"/>
    </xf>
    <xf numFmtId="0" fontId="12" fillId="14" borderId="6" xfId="0" applyFont="1" applyFill="1" applyBorder="1" applyAlignment="1">
      <alignment vertical="center" wrapText="1"/>
    </xf>
    <xf numFmtId="0" fontId="6" fillId="14" borderId="7" xfId="1" quotePrefix="1" applyFill="1" applyBorder="1" applyAlignment="1">
      <alignment vertical="center" wrapText="1"/>
    </xf>
    <xf numFmtId="0" fontId="2" fillId="14" borderId="43" xfId="0" applyFont="1" applyFill="1" applyBorder="1" applyAlignment="1">
      <alignment vertical="center" wrapText="1"/>
    </xf>
    <xf numFmtId="0" fontId="12" fillId="14" borderId="3" xfId="0" applyFont="1" applyFill="1" applyBorder="1" applyAlignment="1">
      <alignment vertical="center" wrapText="1"/>
    </xf>
    <xf numFmtId="0" fontId="12" fillId="14" borderId="3" xfId="0" applyFont="1" applyFill="1" applyBorder="1" applyAlignment="1">
      <alignment horizontal="center" vertical="center" wrapText="1"/>
    </xf>
    <xf numFmtId="0" fontId="0" fillId="14" borderId="27" xfId="0" applyFill="1" applyBorder="1"/>
    <xf numFmtId="0" fontId="27" fillId="4" borderId="5" xfId="1" quotePrefix="1" applyFont="1" applyFill="1" applyBorder="1" applyAlignment="1">
      <alignment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7" fillId="4" borderId="7" xfId="1" quotePrefix="1" applyFont="1" applyFill="1" applyBorder="1" applyAlignment="1">
      <alignment vertical="center" wrapText="1"/>
    </xf>
    <xf numFmtId="0" fontId="0" fillId="1" borderId="17" xfId="0" applyFill="1" applyBorder="1" applyAlignment="1">
      <alignment vertical="center"/>
    </xf>
    <xf numFmtId="0" fontId="0" fillId="1" borderId="0" xfId="0" applyFill="1" applyBorder="1" applyAlignment="1">
      <alignment vertical="center"/>
    </xf>
    <xf numFmtId="0" fontId="0" fillId="1" borderId="7" xfId="0" applyFill="1" applyBorder="1" applyAlignment="1">
      <alignment vertical="center"/>
    </xf>
    <xf numFmtId="0" fontId="0" fillId="1" borderId="18" xfId="0" applyFill="1" applyBorder="1" applyAlignment="1">
      <alignment vertical="center"/>
    </xf>
    <xf numFmtId="0" fontId="0" fillId="1" borderId="8" xfId="0" applyFill="1" applyBorder="1" applyAlignment="1">
      <alignment vertical="center"/>
    </xf>
    <xf numFmtId="0" fontId="0" fillId="1" borderId="5" xfId="0" applyFill="1" applyBorder="1" applyAlignment="1">
      <alignment vertical="center"/>
    </xf>
    <xf numFmtId="0" fontId="4" fillId="0" borderId="7" xfId="0" applyFont="1" applyBorder="1" applyAlignment="1">
      <alignment vertical="center" wrapText="1"/>
    </xf>
    <xf numFmtId="0" fontId="4" fillId="0" borderId="7" xfId="0" quotePrefix="1" applyFont="1" applyBorder="1" applyAlignment="1">
      <alignment vertical="center" wrapText="1"/>
    </xf>
    <xf numFmtId="0" fontId="2" fillId="0" borderId="2" xfId="0" quotePrefix="1" applyFont="1" applyBorder="1" applyAlignment="1">
      <alignment vertical="center" wrapText="1"/>
    </xf>
    <xf numFmtId="0" fontId="5" fillId="0" borderId="18" xfId="0" quotePrefix="1" applyFont="1" applyBorder="1" applyAlignment="1">
      <alignment vertical="center" wrapText="1"/>
    </xf>
    <xf numFmtId="0" fontId="0" fillId="5" borderId="26" xfId="0" applyFill="1" applyBorder="1" applyAlignment="1"/>
    <xf numFmtId="0" fontId="0" fillId="5" borderId="26" xfId="0" applyFill="1" applyBorder="1" applyAlignment="1">
      <alignment vertical="center"/>
    </xf>
    <xf numFmtId="0" fontId="33" fillId="0" borderId="5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6" fillId="0" borderId="2" xfId="1" quotePrefix="1" applyBorder="1" applyAlignment="1">
      <alignment vertical="center" wrapText="1"/>
    </xf>
    <xf numFmtId="0" fontId="6" fillId="0" borderId="3" xfId="1" quotePrefix="1" applyBorder="1" applyAlignment="1">
      <alignment vertical="center" wrapText="1"/>
    </xf>
    <xf numFmtId="0" fontId="2" fillId="4" borderId="7" xfId="0" applyFont="1" applyFill="1" applyBorder="1" applyAlignment="1">
      <alignment vertical="center" wrapText="1"/>
    </xf>
    <xf numFmtId="0" fontId="0" fillId="0" borderId="3" xfId="0" applyBorder="1"/>
    <xf numFmtId="0" fontId="6" fillId="4" borderId="3" xfId="1" quotePrefix="1" applyFill="1" applyBorder="1" applyAlignment="1">
      <alignment vertical="center" wrapText="1"/>
    </xf>
    <xf numFmtId="0" fontId="0" fillId="5" borderId="45" xfId="0" applyFill="1" applyBorder="1"/>
    <xf numFmtId="0" fontId="0" fillId="5" borderId="46" xfId="0" applyFill="1" applyBorder="1"/>
    <xf numFmtId="0" fontId="6" fillId="0" borderId="16" xfId="1" quotePrefix="1" applyBorder="1" applyAlignment="1">
      <alignment vertical="center" wrapText="1"/>
    </xf>
    <xf numFmtId="0" fontId="0" fillId="0" borderId="30" xfId="0" applyBorder="1" applyAlignment="1">
      <alignment horizontal="center" vertical="center"/>
    </xf>
    <xf numFmtId="0" fontId="2" fillId="13" borderId="7" xfId="0" applyFont="1" applyFill="1" applyBorder="1" applyAlignment="1">
      <alignment vertical="center" wrapText="1"/>
    </xf>
    <xf numFmtId="0" fontId="2" fillId="13" borderId="7" xfId="0" quotePrefix="1" applyFont="1" applyFill="1" applyBorder="1" applyAlignment="1">
      <alignment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5" xfId="0" quotePrefix="1" applyFont="1" applyFill="1" applyBorder="1" applyAlignment="1">
      <alignment vertical="center" wrapText="1"/>
    </xf>
    <xf numFmtId="0" fontId="2" fillId="13" borderId="5" xfId="0" applyFont="1" applyFill="1" applyBorder="1" applyAlignment="1">
      <alignment vertical="center" wrapText="1"/>
    </xf>
    <xf numFmtId="0" fontId="2" fillId="10" borderId="7" xfId="0" applyFont="1" applyFill="1" applyBorder="1" applyAlignment="1">
      <alignment vertical="center" wrapText="1"/>
    </xf>
    <xf numFmtId="0" fontId="2" fillId="10" borderId="6" xfId="0" quotePrefix="1" applyFont="1" applyFill="1" applyBorder="1" applyAlignment="1">
      <alignment horizontal="center" vertical="center" wrapText="1"/>
    </xf>
    <xf numFmtId="0" fontId="0" fillId="10" borderId="2" xfId="0" applyFill="1" applyBorder="1"/>
    <xf numFmtId="0" fontId="2" fillId="10" borderId="4" xfId="0" applyFont="1" applyFill="1" applyBorder="1" applyAlignment="1">
      <alignment vertical="center" wrapText="1"/>
    </xf>
    <xf numFmtId="0" fontId="0" fillId="10" borderId="3" xfId="0" applyFill="1" applyBorder="1"/>
    <xf numFmtId="0" fontId="2" fillId="10" borderId="5" xfId="0" applyFont="1" applyFill="1" applyBorder="1" applyAlignment="1">
      <alignment vertical="center" wrapText="1"/>
    </xf>
    <xf numFmtId="0" fontId="2" fillId="10" borderId="0" xfId="0" quotePrefix="1" applyFont="1" applyFill="1" applyBorder="1" applyAlignment="1">
      <alignment vertical="center" wrapText="1"/>
    </xf>
    <xf numFmtId="0" fontId="13" fillId="5" borderId="0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 wrapText="1"/>
    </xf>
    <xf numFmtId="0" fontId="35" fillId="2" borderId="4" xfId="0" applyFont="1" applyFill="1" applyBorder="1" applyAlignment="1">
      <alignment horizontal="center" vertical="center" wrapText="1"/>
    </xf>
    <xf numFmtId="0" fontId="35" fillId="2" borderId="3" xfId="0" applyFont="1" applyFill="1" applyBorder="1" applyAlignment="1">
      <alignment horizontal="center" vertical="center" wrapText="1"/>
    </xf>
    <xf numFmtId="0" fontId="35" fillId="2" borderId="5" xfId="0" applyFont="1" applyFill="1" applyBorder="1" applyAlignment="1">
      <alignment horizontal="center" vertical="center" wrapText="1"/>
    </xf>
    <xf numFmtId="0" fontId="36" fillId="12" borderId="5" xfId="0" applyFont="1" applyFill="1" applyBorder="1" applyAlignment="1">
      <alignment vertical="center" wrapText="1"/>
    </xf>
    <xf numFmtId="9" fontId="36" fillId="12" borderId="5" xfId="2" applyFont="1" applyFill="1" applyBorder="1" applyAlignment="1">
      <alignment vertical="center" wrapText="1"/>
    </xf>
    <xf numFmtId="0" fontId="36" fillId="12" borderId="2" xfId="0" applyFont="1" applyFill="1" applyBorder="1" applyAlignment="1">
      <alignment vertical="center" wrapText="1"/>
    </xf>
    <xf numFmtId="0" fontId="36" fillId="10" borderId="1" xfId="0" applyFont="1" applyFill="1" applyBorder="1" applyAlignment="1">
      <alignment horizontal="center" vertical="center" wrapText="1"/>
    </xf>
    <xf numFmtId="0" fontId="36" fillId="12" borderId="5" xfId="0" applyFont="1" applyFill="1" applyBorder="1" applyAlignment="1">
      <alignment horizontal="center" vertical="center" wrapText="1"/>
    </xf>
    <xf numFmtId="0" fontId="36" fillId="12" borderId="5" xfId="0" quotePrefix="1" applyFont="1" applyFill="1" applyBorder="1" applyAlignment="1">
      <alignment vertical="center" wrapText="1"/>
    </xf>
    <xf numFmtId="0" fontId="36" fillId="12" borderId="5" xfId="0" quotePrefix="1" applyFont="1" applyFill="1" applyBorder="1" applyAlignment="1">
      <alignment horizontal="center" vertical="center" wrapText="1"/>
    </xf>
    <xf numFmtId="0" fontId="36" fillId="10" borderId="5" xfId="0" quotePrefix="1" applyFont="1" applyFill="1" applyBorder="1" applyAlignment="1">
      <alignment horizontal="center" vertical="center" wrapText="1"/>
    </xf>
    <xf numFmtId="0" fontId="40" fillId="10" borderId="5" xfId="1" quotePrefix="1" applyFont="1" applyFill="1" applyBorder="1" applyAlignment="1">
      <alignment vertical="center" wrapText="1"/>
    </xf>
    <xf numFmtId="0" fontId="36" fillId="10" borderId="1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 wrapText="1"/>
    </xf>
    <xf numFmtId="0" fontId="36" fillId="12" borderId="5" xfId="0" quotePrefix="1" applyFont="1" applyFill="1" applyBorder="1" applyAlignment="1">
      <alignment horizontal="center" vertical="center"/>
    </xf>
    <xf numFmtId="0" fontId="36" fillId="10" borderId="1" xfId="0" quotePrefix="1" applyFont="1" applyFill="1" applyBorder="1" applyAlignment="1">
      <alignment horizontal="center" vertical="center" wrapText="1"/>
    </xf>
    <xf numFmtId="0" fontId="40" fillId="10" borderId="19" xfId="1" quotePrefix="1" applyFont="1" applyFill="1" applyBorder="1" applyAlignment="1">
      <alignment vertical="center" wrapText="1"/>
    </xf>
    <xf numFmtId="0" fontId="36" fillId="12" borderId="2" xfId="0" applyFont="1" applyFill="1" applyBorder="1" applyAlignment="1">
      <alignment horizontal="center" vertical="center" wrapText="1"/>
    </xf>
    <xf numFmtId="0" fontId="36" fillId="12" borderId="1" xfId="0" applyFont="1" applyFill="1" applyBorder="1" applyAlignment="1">
      <alignment vertical="center" wrapText="1"/>
    </xf>
    <xf numFmtId="0" fontId="36" fillId="12" borderId="1" xfId="0" applyFont="1" applyFill="1" applyBorder="1" applyAlignment="1">
      <alignment horizontal="center" vertical="center" wrapText="1"/>
    </xf>
    <xf numFmtId="0" fontId="37" fillId="6" borderId="9" xfId="0" applyFont="1" applyFill="1" applyBorder="1" applyAlignment="1">
      <alignment horizontal="center" vertical="center"/>
    </xf>
    <xf numFmtId="0" fontId="42" fillId="5" borderId="9" xfId="0" applyFont="1" applyFill="1" applyBorder="1" applyAlignment="1">
      <alignment horizontal="center" vertical="center"/>
    </xf>
    <xf numFmtId="0" fontId="43" fillId="0" borderId="9" xfId="0" applyFont="1" applyFill="1" applyBorder="1" applyAlignment="1">
      <alignment horizontal="center" vertical="center"/>
    </xf>
    <xf numFmtId="0" fontId="43" fillId="0" borderId="10" xfId="0" applyFont="1" applyFill="1" applyBorder="1" applyAlignment="1">
      <alignment horizontal="center" vertical="center"/>
    </xf>
    <xf numFmtId="0" fontId="38" fillId="5" borderId="9" xfId="0" applyFont="1" applyFill="1" applyBorder="1" applyAlignment="1">
      <alignment vertical="center" wrapText="1"/>
    </xf>
    <xf numFmtId="165" fontId="38" fillId="5" borderId="11" xfId="0" applyNumberFormat="1" applyFont="1" applyFill="1" applyBorder="1" applyAlignment="1">
      <alignment horizontal="center" vertical="center" wrapText="1"/>
    </xf>
    <xf numFmtId="0" fontId="38" fillId="5" borderId="22" xfId="0" applyFont="1" applyFill="1" applyBorder="1" applyAlignment="1">
      <alignment vertical="center" wrapText="1"/>
    </xf>
    <xf numFmtId="165" fontId="38" fillId="5" borderId="13" xfId="0" applyNumberFormat="1" applyFont="1" applyFill="1" applyBorder="1" applyAlignment="1">
      <alignment horizontal="center" vertical="center" wrapText="1"/>
    </xf>
    <xf numFmtId="0" fontId="43" fillId="0" borderId="1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vertical="center" wrapText="1"/>
    </xf>
    <xf numFmtId="0" fontId="2" fillId="10" borderId="19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vertical="center" wrapText="1"/>
    </xf>
    <xf numFmtId="0" fontId="12" fillId="10" borderId="19" xfId="0" applyFont="1" applyFill="1" applyBorder="1" applyAlignment="1">
      <alignment horizontal="center" vertical="center" wrapText="1"/>
    </xf>
    <xf numFmtId="0" fontId="27" fillId="10" borderId="19" xfId="1" quotePrefix="1" applyFont="1" applyFill="1" applyBorder="1" applyAlignment="1">
      <alignment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6" fillId="10" borderId="19" xfId="1" applyFill="1" applyBorder="1" applyAlignment="1">
      <alignment vertical="center" wrapText="1"/>
    </xf>
    <xf numFmtId="0" fontId="2" fillId="5" borderId="0" xfId="0" applyFont="1" applyFill="1" applyBorder="1" applyAlignment="1">
      <alignment vertical="center" wrapText="1"/>
    </xf>
    <xf numFmtId="0" fontId="0" fillId="5" borderId="6" xfId="0" applyFill="1" applyBorder="1"/>
    <xf numFmtId="0" fontId="36" fillId="5" borderId="1" xfId="0" applyFont="1" applyFill="1" applyBorder="1" applyAlignment="1">
      <alignment horizontal="center" vertical="center" wrapText="1"/>
    </xf>
    <xf numFmtId="0" fontId="36" fillId="5" borderId="1" xfId="0" applyFont="1" applyFill="1" applyBorder="1"/>
    <xf numFmtId="0" fontId="36" fillId="5" borderId="1" xfId="0" applyFont="1" applyFill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5" borderId="2" xfId="0" applyFill="1" applyBorder="1" applyAlignment="1">
      <alignment horizontal="center" wrapText="1"/>
    </xf>
    <xf numFmtId="0" fontId="0" fillId="5" borderId="6" xfId="0" applyFill="1" applyBorder="1" applyAlignment="1">
      <alignment horizontal="center" wrapText="1"/>
    </xf>
    <xf numFmtId="0" fontId="0" fillId="5" borderId="3" xfId="0" applyFill="1" applyBorder="1" applyAlignment="1">
      <alignment horizontal="center" wrapText="1"/>
    </xf>
    <xf numFmtId="0" fontId="14" fillId="5" borderId="0" xfId="0" applyFont="1" applyFill="1" applyBorder="1" applyAlignment="1">
      <alignment horizontal="center" vertical="center" wrapText="1"/>
    </xf>
    <xf numFmtId="0" fontId="35" fillId="2" borderId="2" xfId="0" applyFont="1" applyFill="1" applyBorder="1" applyAlignment="1">
      <alignment horizontal="center" vertical="center" wrapText="1"/>
    </xf>
    <xf numFmtId="0" fontId="35" fillId="2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10" borderId="2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13" borderId="2" xfId="0" applyFont="1" applyFill="1" applyBorder="1" applyAlignment="1">
      <alignment horizontal="center" vertical="center" wrapText="1"/>
    </xf>
    <xf numFmtId="0" fontId="2" fillId="13" borderId="6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horizontal="center" vertical="center" wrapText="1"/>
    </xf>
    <xf numFmtId="0" fontId="5" fillId="12" borderId="16" xfId="0" quotePrefix="1" applyFont="1" applyFill="1" applyBorder="1" applyAlignment="1">
      <alignment horizontal="center" vertical="center" wrapText="1"/>
    </xf>
    <xf numFmtId="0" fontId="5" fillId="12" borderId="4" xfId="0" quotePrefix="1" applyFont="1" applyFill="1" applyBorder="1" applyAlignment="1">
      <alignment horizontal="center" vertical="center" wrapText="1"/>
    </xf>
    <xf numFmtId="0" fontId="5" fillId="12" borderId="17" xfId="0" quotePrefix="1" applyFont="1" applyFill="1" applyBorder="1" applyAlignment="1">
      <alignment horizontal="center" vertical="center" wrapText="1"/>
    </xf>
    <xf numFmtId="0" fontId="5" fillId="12" borderId="7" xfId="0" quotePrefix="1" applyFont="1" applyFill="1" applyBorder="1" applyAlignment="1">
      <alignment horizontal="center" vertical="center" wrapText="1"/>
    </xf>
    <xf numFmtId="0" fontId="5" fillId="13" borderId="2" xfId="0" quotePrefix="1" applyFont="1" applyFill="1" applyBorder="1" applyAlignment="1">
      <alignment horizontal="center" vertical="center" wrapText="1"/>
    </xf>
    <xf numFmtId="0" fontId="5" fillId="13" borderId="6" xfId="0" quotePrefix="1" applyFont="1" applyFill="1" applyBorder="1" applyAlignment="1">
      <alignment horizontal="center" vertical="center" wrapText="1"/>
    </xf>
    <xf numFmtId="0" fontId="5" fillId="13" borderId="3" xfId="0" quotePrefix="1" applyFont="1" applyFill="1" applyBorder="1" applyAlignment="1">
      <alignment horizontal="center" vertical="center" wrapText="1"/>
    </xf>
    <xf numFmtId="0" fontId="6" fillId="13" borderId="2" xfId="1" applyFill="1" applyBorder="1" applyAlignment="1">
      <alignment horizontal="center" vertical="center" wrapText="1"/>
    </xf>
    <xf numFmtId="0" fontId="6" fillId="13" borderId="6" xfId="1" applyFill="1" applyBorder="1" applyAlignment="1">
      <alignment horizontal="center" vertical="center" wrapText="1"/>
    </xf>
    <xf numFmtId="0" fontId="6" fillId="13" borderId="3" xfId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5" fillId="2" borderId="6" xfId="0" applyFon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vertical="center" wrapText="1"/>
    </xf>
    <xf numFmtId="0" fontId="0" fillId="5" borderId="27" xfId="0" applyFill="1" applyBorder="1" applyAlignment="1">
      <alignment horizontal="center" vertical="center" wrapText="1"/>
    </xf>
    <xf numFmtId="0" fontId="37" fillId="0" borderId="16" xfId="0" applyFont="1" applyBorder="1" applyAlignment="1">
      <alignment horizontal="center"/>
    </xf>
    <xf numFmtId="0" fontId="37" fillId="0" borderId="17" xfId="0" applyFont="1" applyBorder="1" applyAlignment="1">
      <alignment horizontal="center"/>
    </xf>
    <xf numFmtId="0" fontId="6" fillId="12" borderId="2" xfId="1" applyFill="1" applyBorder="1" applyAlignment="1">
      <alignment horizontal="center" vertical="center" wrapText="1"/>
    </xf>
    <xf numFmtId="0" fontId="6" fillId="12" borderId="3" xfId="1" applyFill="1" applyBorder="1" applyAlignment="1">
      <alignment horizontal="center" vertical="center" wrapText="1"/>
    </xf>
    <xf numFmtId="0" fontId="41" fillId="5" borderId="0" xfId="0" applyFont="1" applyFill="1" applyAlignment="1">
      <alignment horizontal="center" vertical="center" wrapText="1"/>
    </xf>
    <xf numFmtId="0" fontId="36" fillId="7" borderId="10" xfId="0" applyFont="1" applyFill="1" applyBorder="1" applyAlignment="1">
      <alignment horizontal="center" vertical="center" wrapText="1"/>
    </xf>
    <xf numFmtId="0" fontId="36" fillId="7" borderId="11" xfId="0" applyFont="1" applyFill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6" fillId="0" borderId="13" xfId="0" applyFont="1" applyBorder="1" applyAlignment="1">
      <alignment horizontal="center" vertical="center" wrapText="1"/>
    </xf>
    <xf numFmtId="0" fontId="36" fillId="0" borderId="14" xfId="0" applyFont="1" applyBorder="1" applyAlignment="1">
      <alignment horizontal="center" vertical="center" wrapText="1"/>
    </xf>
    <xf numFmtId="0" fontId="36" fillId="0" borderId="15" xfId="0" applyFont="1" applyBorder="1" applyAlignment="1">
      <alignment horizontal="center" vertical="center" wrapText="1"/>
    </xf>
    <xf numFmtId="0" fontId="37" fillId="8" borderId="12" xfId="0" applyFont="1" applyFill="1" applyBorder="1" applyAlignment="1">
      <alignment horizontal="center" vertical="center"/>
    </xf>
    <xf numFmtId="0" fontId="37" fillId="8" borderId="14" xfId="0" applyFont="1" applyFill="1" applyBorder="1" applyAlignment="1">
      <alignment horizontal="center" vertical="center"/>
    </xf>
    <xf numFmtId="0" fontId="6" fillId="12" borderId="6" xfId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5" borderId="34" xfId="0" applyFill="1" applyBorder="1" applyAlignment="1">
      <alignment horizontal="center" wrapText="1"/>
    </xf>
    <xf numFmtId="0" fontId="0" fillId="5" borderId="35" xfId="0" applyFill="1" applyBorder="1" applyAlignment="1">
      <alignment horizontal="center" wrapText="1"/>
    </xf>
    <xf numFmtId="0" fontId="9" fillId="5" borderId="17" xfId="0" applyFont="1" applyFill="1" applyBorder="1" applyAlignment="1">
      <alignment horizontal="center" vertical="center"/>
    </xf>
    <xf numFmtId="0" fontId="20" fillId="5" borderId="26" xfId="0" applyFont="1" applyFill="1" applyBorder="1" applyAlignment="1">
      <alignment horizontal="center" vertical="center" wrapText="1"/>
    </xf>
    <xf numFmtId="0" fontId="20" fillId="5" borderId="27" xfId="0" applyFont="1" applyFill="1" applyBorder="1" applyAlignment="1">
      <alignment horizontal="center" vertical="center" wrapText="1"/>
    </xf>
    <xf numFmtId="0" fontId="0" fillId="12" borderId="16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 wrapText="1"/>
    </xf>
    <xf numFmtId="0" fontId="21" fillId="5" borderId="3" xfId="0" applyFont="1" applyFill="1" applyBorder="1" applyAlignment="1">
      <alignment horizontal="center" vertical="center" wrapText="1"/>
    </xf>
    <xf numFmtId="0" fontId="6" fillId="5" borderId="18" xfId="1" applyFill="1" applyBorder="1" applyAlignment="1">
      <alignment horizontal="center" vertical="center" wrapText="1"/>
    </xf>
    <xf numFmtId="0" fontId="6" fillId="5" borderId="5" xfId="1" applyFill="1" applyBorder="1" applyAlignment="1">
      <alignment horizontal="center" vertical="center" wrapText="1"/>
    </xf>
    <xf numFmtId="0" fontId="5" fillId="0" borderId="23" xfId="0" quotePrefix="1" applyFont="1" applyBorder="1" applyAlignment="1">
      <alignment horizontal="center" vertical="center" wrapText="1"/>
    </xf>
    <xf numFmtId="0" fontId="5" fillId="0" borderId="24" xfId="0" quotePrefix="1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6" fillId="5" borderId="36" xfId="1" applyFill="1" applyBorder="1" applyAlignment="1">
      <alignment horizontal="left" vertical="center" wrapText="1"/>
    </xf>
    <xf numFmtId="0" fontId="6" fillId="5" borderId="37" xfId="1" applyFill="1" applyBorder="1" applyAlignment="1">
      <alignment horizontal="left" vertical="center" wrapText="1"/>
    </xf>
    <xf numFmtId="0" fontId="38" fillId="5" borderId="10" xfId="0" applyFont="1" applyFill="1" applyBorder="1" applyAlignment="1">
      <alignment horizontal="center" vertical="center" wrapText="1"/>
    </xf>
    <xf numFmtId="0" fontId="38" fillId="5" borderId="25" xfId="0" applyFont="1" applyFill="1" applyBorder="1" applyAlignment="1">
      <alignment horizontal="center" vertical="center" wrapText="1"/>
    </xf>
    <xf numFmtId="0" fontId="38" fillId="5" borderId="1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3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0" fontId="3" fillId="0" borderId="17" xfId="0" applyFont="1" applyBorder="1" applyAlignment="1">
      <alignment vertical="center" wrapText="1"/>
    </xf>
    <xf numFmtId="0" fontId="4" fillId="10" borderId="2" xfId="0" applyFont="1" applyFill="1" applyBorder="1" applyAlignment="1">
      <alignment vertical="center" wrapText="1"/>
    </xf>
    <xf numFmtId="0" fontId="4" fillId="10" borderId="6" xfId="0" applyFont="1" applyFill="1" applyBorder="1" applyAlignment="1">
      <alignment vertical="center" wrapText="1"/>
    </xf>
    <xf numFmtId="0" fontId="0" fillId="0" borderId="6" xfId="0" applyBorder="1" applyAlignment="1">
      <alignment horizontal="center"/>
    </xf>
    <xf numFmtId="0" fontId="0" fillId="0" borderId="2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5" fillId="12" borderId="2" xfId="0" applyFont="1" applyFill="1" applyBorder="1" applyAlignment="1">
      <alignment horizontal="center" vertical="center" wrapText="1"/>
    </xf>
    <xf numFmtId="0" fontId="15" fillId="12" borderId="6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10" borderId="2" xfId="0" quotePrefix="1" applyFont="1" applyFill="1" applyBorder="1" applyAlignment="1">
      <alignment horizontal="center" vertical="center" wrapText="1"/>
    </xf>
    <xf numFmtId="0" fontId="2" fillId="10" borderId="3" xfId="0" quotePrefix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10" borderId="6" xfId="0" quotePrefix="1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vertical="center" wrapText="1"/>
    </xf>
    <xf numFmtId="0" fontId="2" fillId="10" borderId="6" xfId="0" applyFont="1" applyFill="1" applyBorder="1" applyAlignment="1">
      <alignment vertical="center" wrapText="1"/>
    </xf>
    <xf numFmtId="0" fontId="2" fillId="10" borderId="3" xfId="0" applyFont="1" applyFill="1" applyBorder="1" applyAlignment="1">
      <alignment vertical="center" wrapText="1"/>
    </xf>
    <xf numFmtId="0" fontId="2" fillId="10" borderId="17" xfId="0" applyFont="1" applyFill="1" applyBorder="1" applyAlignment="1">
      <alignment horizontal="center" vertical="center" wrapText="1"/>
    </xf>
    <xf numFmtId="0" fontId="2" fillId="10" borderId="18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17" fillId="5" borderId="0" xfId="0" applyFont="1" applyFill="1" applyAlignment="1">
      <alignment horizontal="center" vertical="center" wrapText="1"/>
    </xf>
    <xf numFmtId="0" fontId="4" fillId="7" borderId="10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3" fillId="5" borderId="10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 wrapText="1"/>
    </xf>
    <xf numFmtId="0" fontId="2" fillId="14" borderId="6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vertical="center" wrapText="1"/>
    </xf>
    <xf numFmtId="0" fontId="2" fillId="14" borderId="6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27" fillId="14" borderId="2" xfId="1" applyFont="1" applyFill="1" applyBorder="1" applyAlignment="1">
      <alignment horizontal="center" vertical="center" wrapText="1"/>
    </xf>
    <xf numFmtId="0" fontId="27" fillId="14" borderId="6" xfId="1" applyFont="1" applyFill="1" applyBorder="1" applyAlignment="1">
      <alignment horizontal="center" vertical="center" wrapText="1"/>
    </xf>
    <xf numFmtId="0" fontId="27" fillId="14" borderId="3" xfId="1" applyFont="1" applyFill="1" applyBorder="1" applyAlignment="1">
      <alignment horizontal="center" vertical="center" wrapText="1"/>
    </xf>
    <xf numFmtId="0" fontId="5" fillId="14" borderId="2" xfId="0" quotePrefix="1" applyFont="1" applyFill="1" applyBorder="1" applyAlignment="1">
      <alignment horizontal="center" vertical="center" wrapText="1"/>
    </xf>
    <xf numFmtId="0" fontId="5" fillId="14" borderId="6" xfId="0" quotePrefix="1" applyFont="1" applyFill="1" applyBorder="1" applyAlignment="1">
      <alignment horizontal="center" vertical="center" wrapText="1"/>
    </xf>
    <xf numFmtId="0" fontId="5" fillId="14" borderId="3" xfId="0" quotePrefix="1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0" fillId="14" borderId="13" xfId="0" applyFill="1" applyBorder="1" applyAlignment="1">
      <alignment horizontal="center" vertical="center" wrapText="1"/>
    </xf>
    <xf numFmtId="0" fontId="0" fillId="14" borderId="27" xfId="0" applyFill="1" applyBorder="1" applyAlignment="1">
      <alignment horizontal="center" vertical="center" wrapText="1"/>
    </xf>
    <xf numFmtId="0" fontId="20" fillId="14" borderId="26" xfId="0" applyFont="1" applyFill="1" applyBorder="1" applyAlignment="1">
      <alignment horizontal="center" vertical="center" wrapText="1"/>
    </xf>
    <xf numFmtId="0" fontId="20" fillId="14" borderId="27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vertical="center" wrapText="1"/>
    </xf>
    <xf numFmtId="0" fontId="3" fillId="14" borderId="17" xfId="0" applyFont="1" applyFill="1" applyBorder="1" applyAlignment="1">
      <alignment vertical="center" wrapText="1"/>
    </xf>
    <xf numFmtId="0" fontId="3" fillId="14" borderId="18" xfId="0" applyFont="1" applyFill="1" applyBorder="1" applyAlignment="1">
      <alignment vertical="center" wrapText="1"/>
    </xf>
    <xf numFmtId="0" fontId="2" fillId="14" borderId="4" xfId="0" applyFont="1" applyFill="1" applyBorder="1" applyAlignment="1">
      <alignment horizontal="center" vertical="center" wrapText="1"/>
    </xf>
    <xf numFmtId="0" fontId="2" fillId="14" borderId="7" xfId="0" applyFont="1" applyFill="1" applyBorder="1" applyAlignment="1">
      <alignment horizontal="center" vertical="center" wrapText="1"/>
    </xf>
    <xf numFmtId="0" fontId="2" fillId="14" borderId="5" xfId="0" applyFont="1" applyFill="1" applyBorder="1" applyAlignment="1">
      <alignment horizontal="center" vertical="center" wrapText="1"/>
    </xf>
    <xf numFmtId="0" fontId="32" fillId="0" borderId="2" xfId="1" applyFont="1" applyBorder="1" applyAlignment="1">
      <alignment horizontal="center" vertical="center" wrapText="1"/>
    </xf>
    <xf numFmtId="0" fontId="32" fillId="0" borderId="6" xfId="1" applyFont="1" applyBorder="1" applyAlignment="1">
      <alignment horizontal="center" vertical="center" wrapText="1"/>
    </xf>
    <xf numFmtId="0" fontId="32" fillId="0" borderId="3" xfId="1" applyFont="1" applyBorder="1" applyAlignment="1">
      <alignment horizontal="center" vertical="center" wrapText="1"/>
    </xf>
    <xf numFmtId="0" fontId="5" fillId="0" borderId="16" xfId="0" quotePrefix="1" applyFont="1" applyBorder="1" applyAlignment="1">
      <alignment horizontal="center" vertical="center" wrapText="1"/>
    </xf>
    <xf numFmtId="0" fontId="5" fillId="0" borderId="4" xfId="0" quotePrefix="1" applyFont="1" applyBorder="1" applyAlignment="1">
      <alignment horizontal="center" vertical="center" wrapText="1"/>
    </xf>
    <xf numFmtId="0" fontId="5" fillId="0" borderId="17" xfId="0" quotePrefix="1" applyFont="1" applyBorder="1" applyAlignment="1">
      <alignment horizontal="center" vertical="center" wrapText="1"/>
    </xf>
    <xf numFmtId="0" fontId="5" fillId="0" borderId="7" xfId="0" quotePrefix="1" applyFont="1" applyBorder="1" applyAlignment="1">
      <alignment horizontal="center" vertical="center" wrapText="1"/>
    </xf>
    <xf numFmtId="0" fontId="5" fillId="0" borderId="18" xfId="0" quotePrefix="1" applyFont="1" applyBorder="1" applyAlignment="1">
      <alignment horizontal="center" vertical="center" wrapText="1"/>
    </xf>
    <xf numFmtId="0" fontId="5" fillId="0" borderId="5" xfId="0" quotePrefix="1" applyFont="1" applyBorder="1" applyAlignment="1">
      <alignment horizontal="center" vertical="center" wrapText="1"/>
    </xf>
    <xf numFmtId="0" fontId="4" fillId="0" borderId="6" xfId="0" quotePrefix="1" applyFont="1" applyBorder="1" applyAlignment="1">
      <alignment horizontal="left" vertical="center" wrapText="1"/>
    </xf>
    <xf numFmtId="0" fontId="4" fillId="0" borderId="3" xfId="0" quotePrefix="1" applyFont="1" applyBorder="1" applyAlignment="1">
      <alignment horizontal="left" vertical="center" wrapText="1"/>
    </xf>
    <xf numFmtId="0" fontId="4" fillId="0" borderId="2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0" fillId="1" borderId="16" xfId="0" applyFill="1" applyBorder="1" applyAlignment="1">
      <alignment horizontal="center" vertical="center"/>
    </xf>
    <xf numFmtId="0" fontId="0" fillId="1" borderId="20" xfId="0" applyFill="1" applyBorder="1" applyAlignment="1">
      <alignment horizontal="center" vertical="center"/>
    </xf>
    <xf numFmtId="0" fontId="0" fillId="1" borderId="4" xfId="0" applyFill="1" applyBorder="1" applyAlignment="1">
      <alignment horizontal="center" vertical="center"/>
    </xf>
    <xf numFmtId="0" fontId="0" fillId="1" borderId="17" xfId="0" applyFill="1" applyBorder="1" applyAlignment="1">
      <alignment horizontal="center" vertical="center"/>
    </xf>
    <xf numFmtId="0" fontId="0" fillId="1" borderId="0" xfId="0" applyFill="1" applyBorder="1" applyAlignment="1">
      <alignment horizontal="center" vertical="center"/>
    </xf>
    <xf numFmtId="0" fontId="0" fillId="1" borderId="7" xfId="0" applyFill="1" applyBorder="1" applyAlignment="1">
      <alignment horizontal="center" vertical="center"/>
    </xf>
    <xf numFmtId="0" fontId="0" fillId="1" borderId="18" xfId="0" applyFill="1" applyBorder="1" applyAlignment="1">
      <alignment horizontal="center" vertical="center"/>
    </xf>
    <xf numFmtId="0" fontId="0" fillId="1" borderId="8" xfId="0" applyFill="1" applyBorder="1" applyAlignment="1">
      <alignment horizontal="center" vertical="center"/>
    </xf>
    <xf numFmtId="0" fontId="0" fillId="1" borderId="5" xfId="0" applyFill="1" applyBorder="1" applyAlignment="1">
      <alignment horizontal="center" vertical="center"/>
    </xf>
    <xf numFmtId="0" fontId="6" fillId="0" borderId="2" xfId="1" applyBorder="1" applyAlignment="1">
      <alignment horizontal="center" vertical="center" wrapText="1"/>
    </xf>
    <xf numFmtId="0" fontId="6" fillId="0" borderId="3" xfId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6" xfId="0" applyFont="1" applyBorder="1" applyAlignment="1">
      <alignment vertical="center" wrapText="1"/>
    </xf>
    <xf numFmtId="0" fontId="2" fillId="0" borderId="2" xfId="0" quotePrefix="1" applyFont="1" applyBorder="1" applyAlignment="1">
      <alignment horizontal="center" vertical="center" wrapText="1"/>
    </xf>
    <xf numFmtId="0" fontId="2" fillId="0" borderId="3" xfId="0" quotePrefix="1" applyFont="1" applyBorder="1" applyAlignment="1">
      <alignment horizontal="center" vertical="center" wrapText="1"/>
    </xf>
    <xf numFmtId="0" fontId="0" fillId="5" borderId="13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13" xfId="0" applyFill="1" applyBorder="1" applyAlignment="1">
      <alignment horizontal="center" wrapText="1"/>
    </xf>
    <xf numFmtId="0" fontId="0" fillId="5" borderId="27" xfId="0" applyFill="1" applyBorder="1" applyAlignment="1">
      <alignment horizontal="center" wrapText="1"/>
    </xf>
    <xf numFmtId="0" fontId="0" fillId="0" borderId="4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6" fillId="0" borderId="6" xfId="1" applyBorder="1" applyAlignment="1">
      <alignment horizontal="center" vertical="center" wrapText="1"/>
    </xf>
    <xf numFmtId="0" fontId="2" fillId="13" borderId="5" xfId="0" applyFont="1" applyFill="1" applyBorder="1" applyAlignment="1">
      <alignment horizontal="center" vertical="center" wrapText="1"/>
    </xf>
    <xf numFmtId="0" fontId="5" fillId="13" borderId="8" xfId="0" quotePrefix="1" applyFont="1" applyFill="1" applyBorder="1" applyAlignment="1">
      <alignment vertical="center" wrapText="1"/>
    </xf>
    <xf numFmtId="0" fontId="5" fillId="13" borderId="19" xfId="0" quotePrefix="1" applyFont="1" applyFill="1" applyBorder="1" applyAlignment="1">
      <alignment vertical="center" wrapText="1"/>
    </xf>
    <xf numFmtId="0" fontId="2" fillId="13" borderId="19" xfId="0" applyFont="1" applyFill="1" applyBorder="1" applyAlignment="1">
      <alignment horizontal="center" vertical="center" wrapText="1"/>
    </xf>
    <xf numFmtId="0" fontId="2" fillId="13" borderId="19" xfId="0" applyFont="1" applyFill="1" applyBorder="1" applyAlignment="1">
      <alignment vertical="center" wrapText="1"/>
    </xf>
    <xf numFmtId="0" fontId="2" fillId="13" borderId="1" xfId="0" applyFont="1" applyFill="1" applyBorder="1" applyAlignment="1">
      <alignment vertical="center" wrapText="1"/>
    </xf>
    <xf numFmtId="0" fontId="5" fillId="13" borderId="42" xfId="0" quotePrefix="1" applyFont="1" applyFill="1" applyBorder="1" applyAlignment="1">
      <alignment vertical="center" wrapText="1"/>
    </xf>
    <xf numFmtId="0" fontId="0" fillId="10" borderId="20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0" fillId="10" borderId="2" xfId="0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6" xfId="0" applyFill="1" applyBorder="1" applyAlignment="1">
      <alignment horizontal="center" vertical="center" wrapText="1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8" xfId="0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6" fillId="5" borderId="20" xfId="1" quotePrefix="1" applyFill="1" applyBorder="1" applyAlignment="1">
      <alignment vertical="center" wrapText="1"/>
    </xf>
    <xf numFmtId="0" fontId="6" fillId="5" borderId="17" xfId="1" applyFill="1" applyBorder="1"/>
    <xf numFmtId="0" fontId="6" fillId="5" borderId="18" xfId="1" applyFill="1" applyBorder="1"/>
    <xf numFmtId="0" fontId="2" fillId="5" borderId="3" xfId="0" applyFont="1" applyFill="1" applyBorder="1" applyAlignment="1">
      <alignment horizontal="center" vertical="center" wrapText="1"/>
    </xf>
    <xf numFmtId="0" fontId="2" fillId="5" borderId="3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44" fillId="10" borderId="1" xfId="0" applyFont="1" applyFill="1" applyBorder="1" applyAlignment="1">
      <alignment horizontal="center" vertical="center" wrapText="1"/>
    </xf>
    <xf numFmtId="0" fontId="44" fillId="10" borderId="3" xfId="0" applyFont="1" applyFill="1" applyBorder="1" applyAlignment="1">
      <alignment horizontal="center" vertical="center" wrapText="1"/>
    </xf>
    <xf numFmtId="0" fontId="12" fillId="13" borderId="2" xfId="0" applyFont="1" applyFill="1" applyBorder="1" applyAlignment="1">
      <alignment horizontal="center" vertical="center" wrapText="1"/>
    </xf>
    <xf numFmtId="0" fontId="12" fillId="13" borderId="6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45" fillId="12" borderId="2" xfId="0" applyFont="1" applyFill="1" applyBorder="1" applyAlignment="1">
      <alignment horizontal="center" vertical="center" wrapText="1"/>
    </xf>
    <xf numFmtId="0" fontId="45" fillId="12" borderId="6" xfId="0" applyFont="1" applyFill="1" applyBorder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horizontal="center" vertical="center" wrapText="1"/>
    </xf>
    <xf numFmtId="0" fontId="46" fillId="3" borderId="1" xfId="0" applyFont="1" applyFill="1" applyBorder="1" applyAlignment="1">
      <alignment vertical="center" wrapText="1"/>
    </xf>
    <xf numFmtId="0" fontId="12" fillId="16" borderId="40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6</xdr:row>
          <xdr:rowOff>0</xdr:rowOff>
        </xdr:from>
        <xdr:to>
          <xdr:col>5</xdr:col>
          <xdr:colOff>609600</xdr:colOff>
          <xdr:row>6</xdr:row>
          <xdr:rowOff>1438275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7</xdr:row>
          <xdr:rowOff>9525</xdr:rowOff>
        </xdr:from>
        <xdr:to>
          <xdr:col>5</xdr:col>
          <xdr:colOff>609600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6</xdr:row>
          <xdr:rowOff>38100</xdr:rowOff>
        </xdr:from>
        <xdr:to>
          <xdr:col>7</xdr:col>
          <xdr:colOff>1085850</xdr:colOff>
          <xdr:row>6</xdr:row>
          <xdr:rowOff>1419225</xdr:rowOff>
        </xdr:to>
        <xdr:sp macro="" textlink="">
          <xdr:nvSpPr>
            <xdr:cNvPr id="1027" name="Step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9525</xdr:rowOff>
        </xdr:from>
        <xdr:to>
          <xdr:col>5</xdr:col>
          <xdr:colOff>609600</xdr:colOff>
          <xdr:row>8</xdr:row>
          <xdr:rowOff>1133475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19050</xdr:rowOff>
        </xdr:from>
        <xdr:to>
          <xdr:col>7</xdr:col>
          <xdr:colOff>1085850</xdr:colOff>
          <xdr:row>7</xdr:row>
          <xdr:rowOff>1209675</xdr:rowOff>
        </xdr:to>
        <xdr:sp macro="" textlink="">
          <xdr:nvSpPr>
            <xdr:cNvPr id="1030" name="CheckBox2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19050</xdr:rowOff>
        </xdr:from>
        <xdr:to>
          <xdr:col>7</xdr:col>
          <xdr:colOff>1095375</xdr:colOff>
          <xdr:row>8</xdr:row>
          <xdr:rowOff>1114425</xdr:rowOff>
        </xdr:to>
        <xdr:sp macro="" textlink="">
          <xdr:nvSpPr>
            <xdr:cNvPr id="1031" name="CheckBox2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16</xdr:row>
          <xdr:rowOff>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#5a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91</xdr:row>
          <xdr:rowOff>0</xdr:rowOff>
        </xdr:from>
        <xdr:to>
          <xdr:col>5</xdr:col>
          <xdr:colOff>619125</xdr:colOff>
          <xdr:row>91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GS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42</xdr:row>
          <xdr:rowOff>0</xdr:rowOff>
        </xdr:from>
        <xdr:to>
          <xdr:col>9</xdr:col>
          <xdr:colOff>1552575</xdr:colOff>
          <xdr:row>42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StoreOpsReport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16</xdr:row>
          <xdr:rowOff>0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42</xdr:row>
          <xdr:rowOff>0</xdr:rowOff>
        </xdr:from>
        <xdr:to>
          <xdr:col>5</xdr:col>
          <xdr:colOff>619125</xdr:colOff>
          <xdr:row>42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17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42</xdr:row>
          <xdr:rowOff>0</xdr:rowOff>
        </xdr:from>
        <xdr:to>
          <xdr:col>9</xdr:col>
          <xdr:colOff>1533525</xdr:colOff>
          <xdr:row>42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Contest_Store_Ops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Step 6 Running IR Returns DirectionsOpen IR Returns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16</xdr:row>
          <xdr:rowOff>0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#5c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91</xdr:row>
          <xdr:rowOff>0</xdr:rowOff>
        </xdr:from>
        <xdr:to>
          <xdr:col>5</xdr:col>
          <xdr:colOff>609600</xdr:colOff>
          <xdr:row>91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Store Report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GS2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91</xdr:row>
          <xdr:rowOff>0</xdr:rowOff>
        </xdr:from>
        <xdr:to>
          <xdr:col>5</xdr:col>
          <xdr:colOff>628650</xdr:colOff>
          <xdr:row>91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Individual Incentive Step # GS2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16</xdr:row>
          <xdr:rowOff>0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#8: Run TS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</xdr:row>
          <xdr:rowOff>0</xdr:rowOff>
        </xdr:from>
        <xdr:to>
          <xdr:col>5</xdr:col>
          <xdr:colOff>628650</xdr:colOff>
          <xdr:row>31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8 : Monthly Store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16</xdr:row>
          <xdr:rowOff>0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Step #8: Store Adjustment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0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Retail Finance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27</xdr:row>
          <xdr:rowOff>38100</xdr:rowOff>
        </xdr:from>
        <xdr:to>
          <xdr:col>5</xdr:col>
          <xdr:colOff>609600</xdr:colOff>
          <xdr:row>28</xdr:row>
          <xdr:rowOff>609600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#6: Set Up Store Adjustments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29</xdr:row>
          <xdr:rowOff>28575</xdr:rowOff>
        </xdr:from>
        <xdr:to>
          <xdr:col>5</xdr:col>
          <xdr:colOff>609600</xdr:colOff>
          <xdr:row>30</xdr:row>
          <xdr:rowOff>276225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7: Run 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31</xdr:row>
          <xdr:rowOff>0</xdr:rowOff>
        </xdr:from>
        <xdr:to>
          <xdr:col>5</xdr:col>
          <xdr:colOff>619125</xdr:colOff>
          <xdr:row>31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8 : E-mail 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51</xdr:row>
          <xdr:rowOff>9525</xdr:rowOff>
        </xdr:from>
        <xdr:to>
          <xdr:col>5</xdr:col>
          <xdr:colOff>609600</xdr:colOff>
          <xdr:row>55</xdr:row>
          <xdr:rowOff>352425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Send Field Award File to Field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56</xdr:row>
          <xdr:rowOff>57150</xdr:rowOff>
        </xdr:from>
        <xdr:to>
          <xdr:col>5</xdr:col>
          <xdr:colOff>609600</xdr:colOff>
          <xdr:row>64</xdr:row>
          <xdr:rowOff>161925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Send Individual Incentive and Coach Bucks File to the field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66</xdr:row>
          <xdr:rowOff>19050</xdr:rowOff>
        </xdr:from>
        <xdr:to>
          <xdr:col>5</xdr:col>
          <xdr:colOff>609600</xdr:colOff>
          <xdr:row>76</xdr:row>
          <xdr:rowOff>180975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E-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mail Payroll to Let them know Teamshare is Finalized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19050</xdr:rowOff>
        </xdr:from>
        <xdr:to>
          <xdr:col>7</xdr:col>
          <xdr:colOff>1076325</xdr:colOff>
          <xdr:row>12</xdr:row>
          <xdr:rowOff>342900</xdr:rowOff>
        </xdr:to>
        <xdr:sp macro="" textlink="">
          <xdr:nvSpPr>
            <xdr:cNvPr id="1076" name="CheckBox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19050</xdr:rowOff>
        </xdr:from>
        <xdr:to>
          <xdr:col>7</xdr:col>
          <xdr:colOff>1076325</xdr:colOff>
          <xdr:row>15</xdr:row>
          <xdr:rowOff>295275</xdr:rowOff>
        </xdr:to>
        <xdr:sp macro="" textlink="">
          <xdr:nvSpPr>
            <xdr:cNvPr id="1077" name="CheckBox2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19050</xdr:rowOff>
        </xdr:from>
        <xdr:to>
          <xdr:col>7</xdr:col>
          <xdr:colOff>1076325</xdr:colOff>
          <xdr:row>28</xdr:row>
          <xdr:rowOff>581025</xdr:rowOff>
        </xdr:to>
        <xdr:sp macro="" textlink="">
          <xdr:nvSpPr>
            <xdr:cNvPr id="1078" name="CheckBox3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19050</xdr:rowOff>
        </xdr:from>
        <xdr:to>
          <xdr:col>7</xdr:col>
          <xdr:colOff>1095375</xdr:colOff>
          <xdr:row>30</xdr:row>
          <xdr:rowOff>247650</xdr:rowOff>
        </xdr:to>
        <xdr:sp macro="" textlink="">
          <xdr:nvSpPr>
            <xdr:cNvPr id="1079" name="CheckBox4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7</xdr:col>
          <xdr:colOff>1085850</xdr:colOff>
          <xdr:row>33</xdr:row>
          <xdr:rowOff>581025</xdr:rowOff>
        </xdr:to>
        <xdr:sp macro="" textlink="">
          <xdr:nvSpPr>
            <xdr:cNvPr id="1080" name="CheckBox5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41</xdr:row>
          <xdr:rowOff>19050</xdr:rowOff>
        </xdr:from>
        <xdr:to>
          <xdr:col>7</xdr:col>
          <xdr:colOff>1095375</xdr:colOff>
          <xdr:row>41</xdr:row>
          <xdr:rowOff>457200</xdr:rowOff>
        </xdr:to>
        <xdr:sp macro="" textlink="">
          <xdr:nvSpPr>
            <xdr:cNvPr id="1081" name="CheckBox6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42</xdr:row>
          <xdr:rowOff>19050</xdr:rowOff>
        </xdr:from>
        <xdr:to>
          <xdr:col>7</xdr:col>
          <xdr:colOff>1076325</xdr:colOff>
          <xdr:row>42</xdr:row>
          <xdr:rowOff>419100</xdr:rowOff>
        </xdr:to>
        <xdr:sp macro="" textlink="">
          <xdr:nvSpPr>
            <xdr:cNvPr id="1082" name="CheckBox7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47624</xdr:colOff>
          <xdr:row>43</xdr:row>
          <xdr:rowOff>19050</xdr:rowOff>
        </xdr:from>
        <xdr:to>
          <xdr:col>7</xdr:col>
          <xdr:colOff>1057275</xdr:colOff>
          <xdr:row>50</xdr:row>
          <xdr:rowOff>152400</xdr:rowOff>
        </xdr:to>
        <xdr:sp macro="" textlink="">
          <xdr:nvSpPr>
            <xdr:cNvPr id="1083" name="CheckBox8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47624</xdr:colOff>
          <xdr:row>51</xdr:row>
          <xdr:rowOff>19050</xdr:rowOff>
        </xdr:from>
        <xdr:to>
          <xdr:col>7</xdr:col>
          <xdr:colOff>1038225</xdr:colOff>
          <xdr:row>64</xdr:row>
          <xdr:rowOff>152400</xdr:rowOff>
        </xdr:to>
        <xdr:sp macro="" textlink="">
          <xdr:nvSpPr>
            <xdr:cNvPr id="1084" name="CheckBox9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16</xdr:row>
          <xdr:rowOff>0</xdr:rowOff>
        </xdr:from>
        <xdr:to>
          <xdr:col>5</xdr:col>
          <xdr:colOff>600075</xdr:colOff>
          <xdr:row>16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E-mail Field Reminder to Submit Acting / Additional Assignment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43</xdr:row>
          <xdr:rowOff>38100</xdr:rowOff>
        </xdr:from>
        <xdr:to>
          <xdr:col>5</xdr:col>
          <xdr:colOff>609600</xdr:colOff>
          <xdr:row>50</xdr:row>
          <xdr:rowOff>171450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11: Email Award File to Heads of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1247775</xdr:colOff>
          <xdr:row>102</xdr:row>
          <xdr:rowOff>38100</xdr:rowOff>
        </xdr:from>
        <xdr:to>
          <xdr:col>6</xdr:col>
          <xdr:colOff>1114425</xdr:colOff>
          <xdr:row>112</xdr:row>
          <xdr:rowOff>180975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Teamshare Validation Dash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41</xdr:row>
          <xdr:rowOff>9525</xdr:rowOff>
        </xdr:from>
        <xdr:to>
          <xdr:col>5</xdr:col>
          <xdr:colOff>609600</xdr:colOff>
          <xdr:row>41</xdr:row>
          <xdr:rowOff>466725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8 : E-mail 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</xdr:row>
          <xdr:rowOff>28575</xdr:rowOff>
        </xdr:from>
        <xdr:to>
          <xdr:col>5</xdr:col>
          <xdr:colOff>609600</xdr:colOff>
          <xdr:row>5</xdr:row>
          <xdr:rowOff>1447800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Make Directories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33</xdr:row>
          <xdr:rowOff>28575</xdr:rowOff>
        </xdr:from>
        <xdr:to>
          <xdr:col>5</xdr:col>
          <xdr:colOff>628650</xdr:colOff>
          <xdr:row>34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 # 8a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35</xdr:row>
          <xdr:rowOff>19050</xdr:rowOff>
        </xdr:from>
        <xdr:to>
          <xdr:col>5</xdr:col>
          <xdr:colOff>619125</xdr:colOff>
          <xdr:row>40</xdr:row>
          <xdr:rowOff>114300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#8c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38100</xdr:rowOff>
        </xdr:from>
        <xdr:to>
          <xdr:col>7</xdr:col>
          <xdr:colOff>1085850</xdr:colOff>
          <xdr:row>5</xdr:row>
          <xdr:rowOff>1381125</xdr:rowOff>
        </xdr:to>
        <xdr:sp macro="" textlink="">
          <xdr:nvSpPr>
            <xdr:cNvPr id="1096" name="CheckBox10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6</xdr:row>
          <xdr:rowOff>0</xdr:rowOff>
        </xdr:from>
        <xdr:to>
          <xdr:col>5</xdr:col>
          <xdr:colOff>609600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6</xdr:row>
          <xdr:rowOff>0</xdr:rowOff>
        </xdr:from>
        <xdr:to>
          <xdr:col>5</xdr:col>
          <xdr:colOff>609600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0</xdr:rowOff>
        </xdr:from>
        <xdr:to>
          <xdr:col>7</xdr:col>
          <xdr:colOff>990600</xdr:colOff>
          <xdr:row>6</xdr:row>
          <xdr:rowOff>0</xdr:rowOff>
        </xdr:to>
        <xdr:sp macro="" textlink="">
          <xdr:nvSpPr>
            <xdr:cNvPr id="3075" name="Step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609600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28</xdr:row>
          <xdr:rowOff>47625</xdr:rowOff>
        </xdr:from>
        <xdr:to>
          <xdr:col>7</xdr:col>
          <xdr:colOff>1066800</xdr:colOff>
          <xdr:row>38</xdr:row>
          <xdr:rowOff>714375</xdr:rowOff>
        </xdr:to>
        <xdr:sp macro="" textlink="">
          <xdr:nvSpPr>
            <xdr:cNvPr id="3077" name="CheckBox2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82</xdr:row>
          <xdr:rowOff>0</xdr:rowOff>
        </xdr:from>
        <xdr:to>
          <xdr:col>5</xdr:col>
          <xdr:colOff>619125</xdr:colOff>
          <xdr:row>82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GS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61</xdr:row>
          <xdr:rowOff>0</xdr:rowOff>
        </xdr:from>
        <xdr:to>
          <xdr:col>9</xdr:col>
          <xdr:colOff>1552575</xdr:colOff>
          <xdr:row>61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StoreOpsReport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619125</xdr:colOff>
          <xdr:row>6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61</xdr:row>
          <xdr:rowOff>0</xdr:rowOff>
        </xdr:from>
        <xdr:to>
          <xdr:col>5</xdr:col>
          <xdr:colOff>619125</xdr:colOff>
          <xdr:row>61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17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61</xdr:row>
          <xdr:rowOff>0</xdr:rowOff>
        </xdr:from>
        <xdr:to>
          <xdr:col>9</xdr:col>
          <xdr:colOff>1533525</xdr:colOff>
          <xdr:row>61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Contest_Store_Ops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19050</xdr:rowOff>
        </xdr:from>
        <xdr:to>
          <xdr:col>5</xdr:col>
          <xdr:colOff>628650</xdr:colOff>
          <xdr:row>39</xdr:row>
          <xdr:rowOff>447675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Step 3 Running IR Returns DirectionsOpen IR Returns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36</xdr:row>
          <xdr:rowOff>133350</xdr:rowOff>
        </xdr:from>
        <xdr:to>
          <xdr:col>7</xdr:col>
          <xdr:colOff>704850</xdr:colOff>
          <xdr:row>39</xdr:row>
          <xdr:rowOff>295275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#3 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82</xdr:row>
          <xdr:rowOff>0</xdr:rowOff>
        </xdr:from>
        <xdr:to>
          <xdr:col>5</xdr:col>
          <xdr:colOff>609600</xdr:colOff>
          <xdr:row>82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Store Report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GS2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82</xdr:row>
          <xdr:rowOff>0</xdr:rowOff>
        </xdr:from>
        <xdr:to>
          <xdr:col>5</xdr:col>
          <xdr:colOff>628650</xdr:colOff>
          <xdr:row>82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Individual Incentive Step # GS2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40</xdr:row>
          <xdr:rowOff>0</xdr:rowOff>
        </xdr:from>
        <xdr:to>
          <xdr:col>5</xdr:col>
          <xdr:colOff>619125</xdr:colOff>
          <xdr:row>40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#8: Run TS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</xdr:row>
          <xdr:rowOff>28575</xdr:rowOff>
        </xdr:from>
        <xdr:to>
          <xdr:col>5</xdr:col>
          <xdr:colOff>628650</xdr:colOff>
          <xdr:row>47</xdr:row>
          <xdr:rowOff>171450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4 : Monthly Store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40</xdr:row>
          <xdr:rowOff>0</xdr:rowOff>
        </xdr:from>
        <xdr:to>
          <xdr:col>5</xdr:col>
          <xdr:colOff>619125</xdr:colOff>
          <xdr:row>40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Step #8: Store Adjustment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66675</xdr:rowOff>
        </xdr:from>
        <xdr:to>
          <xdr:col>7</xdr:col>
          <xdr:colOff>1000125</xdr:colOff>
          <xdr:row>33</xdr:row>
          <xdr:rowOff>171450</xdr:rowOff>
        </xdr:to>
        <xdr:sp macro="" textlink="">
          <xdr:nvSpPr>
            <xdr:cNvPr id="3093" name="CheckBox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40</xdr:row>
          <xdr:rowOff>0</xdr:rowOff>
        </xdr:from>
        <xdr:to>
          <xdr:col>5</xdr:col>
          <xdr:colOff>619125</xdr:colOff>
          <xdr:row>40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# Retail Finance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45</xdr:row>
          <xdr:rowOff>28575</xdr:rowOff>
        </xdr:from>
        <xdr:to>
          <xdr:col>7</xdr:col>
          <xdr:colOff>942975</xdr:colOff>
          <xdr:row>47</xdr:row>
          <xdr:rowOff>133350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# 4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57150</xdr:rowOff>
        </xdr:from>
        <xdr:to>
          <xdr:col>7</xdr:col>
          <xdr:colOff>895350</xdr:colOff>
          <xdr:row>51</xdr:row>
          <xdr:rowOff>314325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# 5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52</xdr:row>
          <xdr:rowOff>57150</xdr:rowOff>
        </xdr:from>
        <xdr:to>
          <xdr:col>7</xdr:col>
          <xdr:colOff>895350</xdr:colOff>
          <xdr:row>60</xdr:row>
          <xdr:rowOff>276225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# 6 Complete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yroll%20Award%20File%20Proce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Retail%20Finance/Varicent/Reporting/FY16/P08%20Reports/Feb%20Award%20Fi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Payroll Award File Process"/>
    </sheetNames>
    <definedNames>
      <definedName name="Award_File_Field_Email"/>
      <definedName name="Contest_Store_Ops"/>
      <definedName name="GS1Macro"/>
      <definedName name="Individual_Incentive_Award_File"/>
      <definedName name="IR_Returns_Directions"/>
      <definedName name="MakeNewMonthsDirectories"/>
      <definedName name="Run_TS_Goals"/>
      <definedName name="Step_7_Macro"/>
      <definedName name="Step_9c"/>
      <definedName name="Step_Seventeen"/>
      <definedName name="Step1Macro"/>
      <definedName name="Step2Macro"/>
      <definedName name="Step3Macro"/>
      <definedName name="Step6"/>
      <definedName name="Step9Macro"/>
      <definedName name="Store_Adjustments_Process"/>
      <definedName name="StoreOpsStep22Macro"/>
    </definedNames>
    <sheetDataSet>
      <sheetData sheetId="0"/>
      <sheetData sheetId="1">
        <row r="1">
          <cell r="A1" t="str">
            <v>P01</v>
          </cell>
          <cell r="B1" t="str">
            <v>July</v>
          </cell>
          <cell r="C1" t="str">
            <v>P12</v>
          </cell>
        </row>
        <row r="2">
          <cell r="A2" t="str">
            <v>P02</v>
          </cell>
          <cell r="B2" t="str">
            <v>August</v>
          </cell>
          <cell r="C2" t="str">
            <v>P01</v>
          </cell>
        </row>
        <row r="3">
          <cell r="A3" t="str">
            <v>P03</v>
          </cell>
          <cell r="B3" t="str">
            <v>September</v>
          </cell>
          <cell r="C3" t="str">
            <v>P02</v>
          </cell>
        </row>
        <row r="4">
          <cell r="A4" t="str">
            <v>P04</v>
          </cell>
          <cell r="B4" t="str">
            <v>October</v>
          </cell>
          <cell r="C4" t="str">
            <v>P03</v>
          </cell>
        </row>
        <row r="5">
          <cell r="A5" t="str">
            <v>P05</v>
          </cell>
          <cell r="B5" t="str">
            <v>November</v>
          </cell>
          <cell r="C5" t="str">
            <v>P04</v>
          </cell>
        </row>
        <row r="6">
          <cell r="A6" t="str">
            <v>P06</v>
          </cell>
          <cell r="B6" t="str">
            <v>December</v>
          </cell>
          <cell r="C6" t="str">
            <v>P05</v>
          </cell>
        </row>
        <row r="7">
          <cell r="A7" t="str">
            <v>P07</v>
          </cell>
          <cell r="B7" t="str">
            <v>January</v>
          </cell>
          <cell r="C7" t="str">
            <v>P06</v>
          </cell>
        </row>
        <row r="8">
          <cell r="A8" t="str">
            <v>P08</v>
          </cell>
          <cell r="B8" t="str">
            <v>February</v>
          </cell>
          <cell r="C8" t="str">
            <v>P07</v>
          </cell>
        </row>
        <row r="9">
          <cell r="A9" t="str">
            <v>P09</v>
          </cell>
          <cell r="B9" t="str">
            <v>March</v>
          </cell>
          <cell r="C9" t="str">
            <v>P08</v>
          </cell>
        </row>
        <row r="10">
          <cell r="A10" t="str">
            <v>P10</v>
          </cell>
          <cell r="B10" t="str">
            <v>April</v>
          </cell>
          <cell r="C10" t="str">
            <v>P09</v>
          </cell>
        </row>
        <row r="11">
          <cell r="A11" t="str">
            <v>P11</v>
          </cell>
          <cell r="B11" t="str">
            <v>May</v>
          </cell>
          <cell r="C11" t="str">
            <v>P10</v>
          </cell>
        </row>
        <row r="12">
          <cell r="A12" t="str">
            <v>P12</v>
          </cell>
          <cell r="B12" t="str">
            <v>June</v>
          </cell>
          <cell r="C12" t="str">
            <v>P11</v>
          </cell>
        </row>
        <row r="14">
          <cell r="A14" t="str">
            <v>FY</v>
          </cell>
          <cell r="B14" t="str">
            <v>17</v>
          </cell>
        </row>
        <row r="15">
          <cell r="A15" t="str">
            <v>Period</v>
          </cell>
          <cell r="B15" t="str">
            <v>P03</v>
          </cell>
        </row>
        <row r="16">
          <cell r="A16" t="str">
            <v>Month</v>
          </cell>
          <cell r="B16" t="str">
            <v>September</v>
          </cell>
        </row>
        <row r="17">
          <cell r="A17" t="str">
            <v>Month Abbreviation</v>
          </cell>
          <cell r="B17" t="str">
            <v>Sep</v>
          </cell>
        </row>
        <row r="18">
          <cell r="A18" t="str">
            <v>Weekday</v>
          </cell>
          <cell r="B18" t="str">
            <v>Monday</v>
          </cell>
        </row>
        <row r="19">
          <cell r="A19" t="str">
            <v>On Sheet1 J1 and J2 Drop downs populate the variable aspects of the file paths</v>
          </cell>
        </row>
        <row r="20">
          <cell r="A20" t="str">
            <v>Day of Month Today</v>
          </cell>
          <cell r="B20">
            <v>19</v>
          </cell>
        </row>
        <row r="21">
          <cell r="A21" t="str">
            <v>Month Today</v>
          </cell>
          <cell r="B21" t="str">
            <v>September</v>
          </cell>
        </row>
        <row r="22">
          <cell r="B22" t="str">
            <v>FIRE</v>
          </cell>
        </row>
        <row r="23">
          <cell r="B23" t="str">
            <v>FIRE</v>
          </cell>
        </row>
        <row r="24">
          <cell r="B24" t="str">
            <v>FIRE</v>
          </cell>
        </row>
        <row r="25">
          <cell r="B25" t="str">
            <v>FIRE</v>
          </cell>
        </row>
        <row r="26">
          <cell r="B26" t="str">
            <v>FIRE</v>
          </cell>
        </row>
        <row r="27">
          <cell r="B27" t="str">
            <v>FIRE</v>
          </cell>
        </row>
        <row r="28">
          <cell r="B28" t="str">
            <v>FIRE</v>
          </cell>
        </row>
        <row r="29">
          <cell r="B29" t="str">
            <v>FIRE</v>
          </cell>
        </row>
        <row r="30">
          <cell r="B30" t="str">
            <v>FIRE</v>
          </cell>
        </row>
        <row r="31">
          <cell r="B31" t="str">
            <v>FIRE</v>
          </cell>
        </row>
        <row r="32">
          <cell r="B32" t="str">
            <v>FIRE</v>
          </cell>
        </row>
        <row r="33">
          <cell r="B33" t="str">
            <v>FIRE</v>
          </cell>
        </row>
        <row r="34">
          <cell r="B34" t="str">
            <v>FIRE</v>
          </cell>
        </row>
        <row r="35">
          <cell r="B35" t="str">
            <v>FIRE</v>
          </cell>
        </row>
      </sheetData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S Summ"/>
      <sheetName val="TS by Store"/>
    </sheetNames>
    <sheetDataSet>
      <sheetData sheetId="0">
        <row r="11">
          <cell r="D11">
            <v>1.012</v>
          </cell>
          <cell r="G11">
            <v>0.624</v>
          </cell>
        </row>
        <row r="17">
          <cell r="D17">
            <v>1.0509999999999999</v>
          </cell>
          <cell r="G17">
            <v>0.65300000000000002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Jbouissou@Coach.com" TargetMode="External"/><Relationship Id="rId21" Type="http://schemas.openxmlformats.org/officeDocument/2006/relationships/hyperlink" Target="mailto:Clevesque@coach.com" TargetMode="External"/><Relationship Id="rId42" Type="http://schemas.openxmlformats.org/officeDocument/2006/relationships/hyperlink" Target="mailto:mfong@coach.com" TargetMode="External"/><Relationship Id="rId47" Type="http://schemas.openxmlformats.org/officeDocument/2006/relationships/hyperlink" Target="mailto:Rpullman@coach.com" TargetMode="External"/><Relationship Id="rId63" Type="http://schemas.openxmlformats.org/officeDocument/2006/relationships/control" Target="../activeX/activeX3.xml"/><Relationship Id="rId68" Type="http://schemas.openxmlformats.org/officeDocument/2006/relationships/image" Target="../media/image5.emf"/><Relationship Id="rId84" Type="http://schemas.openxmlformats.org/officeDocument/2006/relationships/image" Target="../media/image13.emf"/><Relationship Id="rId89" Type="http://schemas.openxmlformats.org/officeDocument/2006/relationships/ctrlProp" Target="../ctrlProps/ctrlProp5.xml"/><Relationship Id="rId112" Type="http://schemas.openxmlformats.org/officeDocument/2006/relationships/ctrlProp" Target="../ctrlProps/ctrlProp28.xml"/><Relationship Id="rId2" Type="http://schemas.openxmlformats.org/officeDocument/2006/relationships/hyperlink" Target="mailto:BMcGuire@Coach.com;%20CJovovich@Coach.com;%20KFongYing@Coach.com;%20JSaunders@Coach.com" TargetMode="External"/><Relationship Id="rId16" Type="http://schemas.openxmlformats.org/officeDocument/2006/relationships/hyperlink" Target="file:///C:\Users\rpullman\AppData\Roaming\Microsoft\Excel\Step%208-%20Monthly%20TS%20Goals%20File.docx" TargetMode="External"/><Relationship Id="rId29" Type="http://schemas.openxmlformats.org/officeDocument/2006/relationships/hyperlink" Target="file:///C:\Users\rpullman\AppData\Roaming\Microsoft\Excel\Step%2011%20-%20Store%20Adjustments%20File.docx" TargetMode="External"/><Relationship Id="rId107" Type="http://schemas.openxmlformats.org/officeDocument/2006/relationships/ctrlProp" Target="../ctrlProps/ctrlProp23.xml"/><Relationship Id="rId11" Type="http://schemas.openxmlformats.org/officeDocument/2006/relationships/hyperlink" Target="mailto:JDiMarino@coach.com" TargetMode="External"/><Relationship Id="rId24" Type="http://schemas.openxmlformats.org/officeDocument/2006/relationships/hyperlink" Target="mailto:JDiMarino@Coach.com" TargetMode="External"/><Relationship Id="rId32" Type="http://schemas.openxmlformats.org/officeDocument/2006/relationships/hyperlink" Target="Process%20Documentation\FTP%20Process.docx" TargetMode="External"/><Relationship Id="rId37" Type="http://schemas.openxmlformats.org/officeDocument/2006/relationships/hyperlink" Target="mailto:Gpared@coach.com" TargetMode="External"/><Relationship Id="rId40" Type="http://schemas.openxmlformats.org/officeDocument/2006/relationships/hyperlink" Target="mailto:SLiu2@coach.com" TargetMode="External"/><Relationship Id="rId45" Type="http://schemas.openxmlformats.org/officeDocument/2006/relationships/hyperlink" Target="mailto:jstrickland@coach.com" TargetMode="External"/><Relationship Id="rId53" Type="http://schemas.openxmlformats.org/officeDocument/2006/relationships/hyperlink" Target="mailto:Mcorbett@Coach.com" TargetMode="External"/><Relationship Id="rId58" Type="http://schemas.openxmlformats.org/officeDocument/2006/relationships/vmlDrawing" Target="../drawings/vmlDrawing1.vml"/><Relationship Id="rId66" Type="http://schemas.openxmlformats.org/officeDocument/2006/relationships/image" Target="../media/image4.emf"/><Relationship Id="rId74" Type="http://schemas.openxmlformats.org/officeDocument/2006/relationships/image" Target="../media/image8.emf"/><Relationship Id="rId79" Type="http://schemas.openxmlformats.org/officeDocument/2006/relationships/control" Target="../activeX/activeX11.xml"/><Relationship Id="rId87" Type="http://schemas.openxmlformats.org/officeDocument/2006/relationships/ctrlProp" Target="../ctrlProps/ctrlProp3.xml"/><Relationship Id="rId102" Type="http://schemas.openxmlformats.org/officeDocument/2006/relationships/ctrlProp" Target="../ctrlProps/ctrlProp18.xml"/><Relationship Id="rId110" Type="http://schemas.openxmlformats.org/officeDocument/2006/relationships/ctrlProp" Target="../ctrlProps/ctrlProp26.xml"/><Relationship Id="rId5" Type="http://schemas.openxmlformats.org/officeDocument/2006/relationships/hyperlink" Target="mailto:Bquin@coach.com" TargetMode="External"/><Relationship Id="rId61" Type="http://schemas.openxmlformats.org/officeDocument/2006/relationships/control" Target="../activeX/activeX2.xml"/><Relationship Id="rId82" Type="http://schemas.openxmlformats.org/officeDocument/2006/relationships/image" Target="../media/image12.emf"/><Relationship Id="rId90" Type="http://schemas.openxmlformats.org/officeDocument/2006/relationships/ctrlProp" Target="../ctrlProps/ctrlProp6.xml"/><Relationship Id="rId95" Type="http://schemas.openxmlformats.org/officeDocument/2006/relationships/ctrlProp" Target="../ctrlProps/ctrlProp11.xml"/><Relationship Id="rId19" Type="http://schemas.openxmlformats.org/officeDocument/2006/relationships/hyperlink" Target="mailto:Ppanagiotopoulos@coach.com" TargetMode="External"/><Relationship Id="rId14" Type="http://schemas.openxmlformats.org/officeDocument/2006/relationships/hyperlink" Target="mailto:Rmarsh@coach.com" TargetMode="External"/><Relationship Id="rId22" Type="http://schemas.openxmlformats.org/officeDocument/2006/relationships/hyperlink" Target="mailto:Bquin@Coach.com" TargetMode="External"/><Relationship Id="rId27" Type="http://schemas.openxmlformats.org/officeDocument/2006/relationships/hyperlink" Target="mailto:SLiu2@Coach.com" TargetMode="External"/><Relationship Id="rId30" Type="http://schemas.openxmlformats.org/officeDocument/2006/relationships/hyperlink" Target="Process%20Documentation\Step%208-%20Monthly%20TS%20Goals%20File.docx" TargetMode="External"/><Relationship Id="rId35" Type="http://schemas.openxmlformats.org/officeDocument/2006/relationships/hyperlink" Target="mailto:Payrollteam@coach.com" TargetMode="External"/><Relationship Id="rId43" Type="http://schemas.openxmlformats.org/officeDocument/2006/relationships/hyperlink" Target="..\Onboarding%20Docs\5.1%20Varicent%20Instruction%20Manual.doc" TargetMode="External"/><Relationship Id="rId48" Type="http://schemas.openxmlformats.org/officeDocument/2006/relationships/hyperlink" Target="mailto:EWilliams1@coach.com" TargetMode="External"/><Relationship Id="rId56" Type="http://schemas.openxmlformats.org/officeDocument/2006/relationships/printerSettings" Target="../printerSettings/printerSettings1.bin"/><Relationship Id="rId64" Type="http://schemas.openxmlformats.org/officeDocument/2006/relationships/image" Target="../media/image3.emf"/><Relationship Id="rId69" Type="http://schemas.openxmlformats.org/officeDocument/2006/relationships/control" Target="../activeX/activeX6.xml"/><Relationship Id="rId77" Type="http://schemas.openxmlformats.org/officeDocument/2006/relationships/control" Target="../activeX/activeX10.xml"/><Relationship Id="rId100" Type="http://schemas.openxmlformats.org/officeDocument/2006/relationships/ctrlProp" Target="../ctrlProps/ctrlProp16.xml"/><Relationship Id="rId105" Type="http://schemas.openxmlformats.org/officeDocument/2006/relationships/ctrlProp" Target="../ctrlProps/ctrlProp21.xml"/><Relationship Id="rId113" Type="http://schemas.openxmlformats.org/officeDocument/2006/relationships/ctrlProp" Target="../ctrlProps/ctrlProp29.xml"/><Relationship Id="rId8" Type="http://schemas.openxmlformats.org/officeDocument/2006/relationships/hyperlink" Target="mailto:SLiu2@Coach.com" TargetMode="External"/><Relationship Id="rId51" Type="http://schemas.openxmlformats.org/officeDocument/2006/relationships/hyperlink" Target="mailto:SLiu2@Coach.com" TargetMode="External"/><Relationship Id="rId72" Type="http://schemas.openxmlformats.org/officeDocument/2006/relationships/image" Target="../media/image7.emf"/><Relationship Id="rId80" Type="http://schemas.openxmlformats.org/officeDocument/2006/relationships/image" Target="../media/image11.emf"/><Relationship Id="rId85" Type="http://schemas.openxmlformats.org/officeDocument/2006/relationships/ctrlProp" Target="../ctrlProps/ctrlProp1.xml"/><Relationship Id="rId93" Type="http://schemas.openxmlformats.org/officeDocument/2006/relationships/ctrlProp" Target="../ctrlProps/ctrlProp9.xml"/><Relationship Id="rId98" Type="http://schemas.openxmlformats.org/officeDocument/2006/relationships/ctrlProp" Target="../ctrlProps/ctrlProp14.xml"/><Relationship Id="rId3" Type="http://schemas.openxmlformats.org/officeDocument/2006/relationships/hyperlink" Target="mailto:jdunn@coach.com" TargetMode="External"/><Relationship Id="rId12" Type="http://schemas.openxmlformats.org/officeDocument/2006/relationships/hyperlink" Target="mailto:Rpullman@coach.com" TargetMode="External"/><Relationship Id="rId17" Type="http://schemas.openxmlformats.org/officeDocument/2006/relationships/hyperlink" Target="file:///C:\Users\rpullman\AppData\Roaming\Microsoft\Onboarding%20Docs\5.1%20Varicent%20Instruction%20Manual.pdf" TargetMode="External"/><Relationship Id="rId25" Type="http://schemas.openxmlformats.org/officeDocument/2006/relationships/hyperlink" Target="mailto:Emunoz@Coach.com" TargetMode="External"/><Relationship Id="rId33" Type="http://schemas.openxmlformats.org/officeDocument/2006/relationships/hyperlink" Target="mailto:Mmontalvo@Coach.com;%20Tjamurath@Coach.com;%20Msevaire@Coach.com;%20Gpared@Coach.com" TargetMode="External"/><Relationship Id="rId38" Type="http://schemas.openxmlformats.org/officeDocument/2006/relationships/hyperlink" Target="mailto:Msevaire@coach.com" TargetMode="External"/><Relationship Id="rId46" Type="http://schemas.openxmlformats.org/officeDocument/2006/relationships/hyperlink" Target="mailto:hrogers@coach.com" TargetMode="External"/><Relationship Id="rId59" Type="http://schemas.openxmlformats.org/officeDocument/2006/relationships/control" Target="../activeX/activeX1.xml"/><Relationship Id="rId67" Type="http://schemas.openxmlformats.org/officeDocument/2006/relationships/control" Target="../activeX/activeX5.xml"/><Relationship Id="rId103" Type="http://schemas.openxmlformats.org/officeDocument/2006/relationships/ctrlProp" Target="../ctrlProps/ctrlProp19.xml"/><Relationship Id="rId108" Type="http://schemas.openxmlformats.org/officeDocument/2006/relationships/ctrlProp" Target="../ctrlProps/ctrlProp24.xml"/><Relationship Id="rId20" Type="http://schemas.openxmlformats.org/officeDocument/2006/relationships/hyperlink" Target="mailto:jdunn@coach.com" TargetMode="External"/><Relationship Id="rId41" Type="http://schemas.openxmlformats.org/officeDocument/2006/relationships/hyperlink" Target="mailto:Mkosloski@Coach.com" TargetMode="External"/><Relationship Id="rId54" Type="http://schemas.openxmlformats.org/officeDocument/2006/relationships/hyperlink" Target="mailto:SLiu2@coach.com" TargetMode="External"/><Relationship Id="rId62" Type="http://schemas.openxmlformats.org/officeDocument/2006/relationships/image" Target="../media/image2.emf"/><Relationship Id="rId70" Type="http://schemas.openxmlformats.org/officeDocument/2006/relationships/image" Target="../media/image6.emf"/><Relationship Id="rId75" Type="http://schemas.openxmlformats.org/officeDocument/2006/relationships/control" Target="../activeX/activeX9.xml"/><Relationship Id="rId83" Type="http://schemas.openxmlformats.org/officeDocument/2006/relationships/control" Target="../activeX/activeX13.xml"/><Relationship Id="rId88" Type="http://schemas.openxmlformats.org/officeDocument/2006/relationships/ctrlProp" Target="../ctrlProps/ctrlProp4.xml"/><Relationship Id="rId91" Type="http://schemas.openxmlformats.org/officeDocument/2006/relationships/ctrlProp" Target="../ctrlProps/ctrlProp7.xml"/><Relationship Id="rId96" Type="http://schemas.openxmlformats.org/officeDocument/2006/relationships/ctrlProp" Target="../ctrlProps/ctrlProp12.xml"/><Relationship Id="rId111" Type="http://schemas.openxmlformats.org/officeDocument/2006/relationships/ctrlProp" Target="../ctrlProps/ctrlProp27.xml"/><Relationship Id="rId1" Type="http://schemas.openxmlformats.org/officeDocument/2006/relationships/hyperlink" Target="mailto:Orivera@Coach.com;%20Jestes@Coach.com;%20Jstrickland@Coach.com" TargetMode="External"/><Relationship Id="rId6" Type="http://schemas.openxmlformats.org/officeDocument/2006/relationships/hyperlink" Target="mailto:Ahsieh@coach.com" TargetMode="External"/><Relationship Id="rId15" Type="http://schemas.openxmlformats.org/officeDocument/2006/relationships/hyperlink" Target="mailto:Thache@coach.com" TargetMode="External"/><Relationship Id="rId23" Type="http://schemas.openxmlformats.org/officeDocument/2006/relationships/hyperlink" Target="mailto:Ahsieh@coach.com" TargetMode="External"/><Relationship Id="rId28" Type="http://schemas.openxmlformats.org/officeDocument/2006/relationships/hyperlink" Target="mailto:Rpullman@Coach.com" TargetMode="External"/><Relationship Id="rId36" Type="http://schemas.openxmlformats.org/officeDocument/2006/relationships/hyperlink" Target="mailto:Mmontalvo@coach.com" TargetMode="External"/><Relationship Id="rId49" Type="http://schemas.openxmlformats.org/officeDocument/2006/relationships/hyperlink" Target="mailto:Jleone@coach.com" TargetMode="External"/><Relationship Id="rId57" Type="http://schemas.openxmlformats.org/officeDocument/2006/relationships/drawing" Target="../drawings/drawing1.xml"/><Relationship Id="rId106" Type="http://schemas.openxmlformats.org/officeDocument/2006/relationships/ctrlProp" Target="../ctrlProps/ctrlProp22.xml"/><Relationship Id="rId114" Type="http://schemas.openxmlformats.org/officeDocument/2006/relationships/ctrlProp" Target="../ctrlProps/ctrlProp30.xml"/><Relationship Id="rId10" Type="http://schemas.openxmlformats.org/officeDocument/2006/relationships/hyperlink" Target="mailto:Mfong@coach.com" TargetMode="External"/><Relationship Id="rId31" Type="http://schemas.openxmlformats.org/officeDocument/2006/relationships/hyperlink" Target="Process%20Documentation\Step%207%20-%20Store%20Adjustments%20File.docx" TargetMode="External"/><Relationship Id="rId44" Type="http://schemas.openxmlformats.org/officeDocument/2006/relationships/hyperlink" Target="mailto:rpullman@coach.com" TargetMode="External"/><Relationship Id="rId52" Type="http://schemas.openxmlformats.org/officeDocument/2006/relationships/hyperlink" Target="Process%20Documentation\Step%202b%20-%20Setup%20the%20SAP%20upload%20File%20for%20Varicent.docx" TargetMode="External"/><Relationship Id="rId60" Type="http://schemas.openxmlformats.org/officeDocument/2006/relationships/image" Target="../media/image1.emf"/><Relationship Id="rId65" Type="http://schemas.openxmlformats.org/officeDocument/2006/relationships/control" Target="../activeX/activeX4.xml"/><Relationship Id="rId73" Type="http://schemas.openxmlformats.org/officeDocument/2006/relationships/control" Target="../activeX/activeX8.xml"/><Relationship Id="rId78" Type="http://schemas.openxmlformats.org/officeDocument/2006/relationships/image" Target="../media/image10.emf"/><Relationship Id="rId81" Type="http://schemas.openxmlformats.org/officeDocument/2006/relationships/control" Target="../activeX/activeX12.xml"/><Relationship Id="rId86" Type="http://schemas.openxmlformats.org/officeDocument/2006/relationships/ctrlProp" Target="../ctrlProps/ctrlProp2.xml"/><Relationship Id="rId94" Type="http://schemas.openxmlformats.org/officeDocument/2006/relationships/ctrlProp" Target="../ctrlProps/ctrlProp10.xml"/><Relationship Id="rId99" Type="http://schemas.openxmlformats.org/officeDocument/2006/relationships/ctrlProp" Target="../ctrlProps/ctrlProp15.xml"/><Relationship Id="rId101" Type="http://schemas.openxmlformats.org/officeDocument/2006/relationships/ctrlProp" Target="../ctrlProps/ctrlProp17.xml"/><Relationship Id="rId4" Type="http://schemas.openxmlformats.org/officeDocument/2006/relationships/hyperlink" Target="mailto:Ppanagiotopoulos@coach.com" TargetMode="External"/><Relationship Id="rId9" Type="http://schemas.openxmlformats.org/officeDocument/2006/relationships/hyperlink" Target="mailto:Ahsieh@coach.com" TargetMode="External"/><Relationship Id="rId13" Type="http://schemas.openxmlformats.org/officeDocument/2006/relationships/hyperlink" Target="mailto:Clevesque@coach.com" TargetMode="External"/><Relationship Id="rId18" Type="http://schemas.openxmlformats.org/officeDocument/2006/relationships/hyperlink" Target="mailto:NA%20Outlet%20Multi-Managers" TargetMode="External"/><Relationship Id="rId39" Type="http://schemas.openxmlformats.org/officeDocument/2006/relationships/hyperlink" Target="mailto:Bquin@Coach.com" TargetMode="External"/><Relationship Id="rId109" Type="http://schemas.openxmlformats.org/officeDocument/2006/relationships/ctrlProp" Target="../ctrlProps/ctrlProp25.xml"/><Relationship Id="rId34" Type="http://schemas.openxmlformats.org/officeDocument/2006/relationships/hyperlink" Target="mailto:BQuin@Coach.com;%20MFong@Coach.com" TargetMode="External"/><Relationship Id="rId50" Type="http://schemas.openxmlformats.org/officeDocument/2006/relationships/hyperlink" Target="mailto:Bquin@coach.com" TargetMode="External"/><Relationship Id="rId55" Type="http://schemas.openxmlformats.org/officeDocument/2006/relationships/hyperlink" Target="mailto:Bquin@coach.com" TargetMode="External"/><Relationship Id="rId76" Type="http://schemas.openxmlformats.org/officeDocument/2006/relationships/image" Target="../media/image9.emf"/><Relationship Id="rId97" Type="http://schemas.openxmlformats.org/officeDocument/2006/relationships/ctrlProp" Target="../ctrlProps/ctrlProp13.xml"/><Relationship Id="rId104" Type="http://schemas.openxmlformats.org/officeDocument/2006/relationships/ctrlProp" Target="../ctrlProps/ctrlProp20.xml"/><Relationship Id="rId7" Type="http://schemas.openxmlformats.org/officeDocument/2006/relationships/hyperlink" Target="mailto:Bquin@coach.com" TargetMode="External"/><Relationship Id="rId71" Type="http://schemas.openxmlformats.org/officeDocument/2006/relationships/control" Target="../activeX/activeX7.xml"/><Relationship Id="rId92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SLiu2@Coach.com" TargetMode="External"/><Relationship Id="rId18" Type="http://schemas.openxmlformats.org/officeDocument/2006/relationships/hyperlink" Target="mailto:Clevesque@coach.com" TargetMode="External"/><Relationship Id="rId26" Type="http://schemas.openxmlformats.org/officeDocument/2006/relationships/hyperlink" Target="mailto:Clevesque@coach.com" TargetMode="External"/><Relationship Id="rId39" Type="http://schemas.openxmlformats.org/officeDocument/2006/relationships/hyperlink" Target="Process%20Documentation\Varicent%20Report%20Processing%20Guide.docx" TargetMode="External"/><Relationship Id="rId21" Type="http://schemas.openxmlformats.org/officeDocument/2006/relationships/hyperlink" Target="Step%208-%20Monthly%20TS%20Goals%20File.docx" TargetMode="External"/><Relationship Id="rId34" Type="http://schemas.openxmlformats.org/officeDocument/2006/relationships/hyperlink" Target="mailto:SLiu2@Coach.com" TargetMode="External"/><Relationship Id="rId42" Type="http://schemas.openxmlformats.org/officeDocument/2006/relationships/vmlDrawing" Target="../drawings/vmlDrawing2.vml"/><Relationship Id="rId47" Type="http://schemas.openxmlformats.org/officeDocument/2006/relationships/control" Target="../activeX/activeX16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63" Type="http://schemas.openxmlformats.org/officeDocument/2006/relationships/ctrlProp" Target="../ctrlProps/ctrlProp45.xml"/><Relationship Id="rId7" Type="http://schemas.openxmlformats.org/officeDocument/2006/relationships/hyperlink" Target="mailto:Lgrandhi@coach.com" TargetMode="External"/><Relationship Id="rId2" Type="http://schemas.openxmlformats.org/officeDocument/2006/relationships/hyperlink" Target="mailto:Pcen@coach.com" TargetMode="External"/><Relationship Id="rId16" Type="http://schemas.openxmlformats.org/officeDocument/2006/relationships/hyperlink" Target="mailto:JDiMarino@coach.com" TargetMode="External"/><Relationship Id="rId29" Type="http://schemas.openxmlformats.org/officeDocument/2006/relationships/hyperlink" Target="mailto:Ahsieh@coach.com" TargetMode="External"/><Relationship Id="rId1" Type="http://schemas.openxmlformats.org/officeDocument/2006/relationships/hyperlink" Target="mailto:hrogers@coach.com" TargetMode="External"/><Relationship Id="rId6" Type="http://schemas.openxmlformats.org/officeDocument/2006/relationships/hyperlink" Target="mailto:Bquin@coach.com" TargetMode="External"/><Relationship Id="rId11" Type="http://schemas.openxmlformats.org/officeDocument/2006/relationships/hyperlink" Target="mailto:SLiu2@coach.com" TargetMode="External"/><Relationship Id="rId24" Type="http://schemas.openxmlformats.org/officeDocument/2006/relationships/hyperlink" Target="mailto:Ppanagiotopoulos@coach.com" TargetMode="External"/><Relationship Id="rId32" Type="http://schemas.openxmlformats.org/officeDocument/2006/relationships/hyperlink" Target="mailto:Emunoz@Coach.com" TargetMode="External"/><Relationship Id="rId37" Type="http://schemas.openxmlformats.org/officeDocument/2006/relationships/hyperlink" Target="Process%20Documentation\FTP%20Process3.docx" TargetMode="External"/><Relationship Id="rId40" Type="http://schemas.openxmlformats.org/officeDocument/2006/relationships/printerSettings" Target="../printerSettings/printerSettings2.bin"/><Relationship Id="rId45" Type="http://schemas.openxmlformats.org/officeDocument/2006/relationships/control" Target="../activeX/activeX15.xml"/><Relationship Id="rId53" Type="http://schemas.openxmlformats.org/officeDocument/2006/relationships/ctrlProp" Target="../ctrlProps/ctrlProp35.xml"/><Relationship Id="rId58" Type="http://schemas.openxmlformats.org/officeDocument/2006/relationships/ctrlProp" Target="../ctrlProps/ctrlProp40.xml"/><Relationship Id="rId66" Type="http://schemas.openxmlformats.org/officeDocument/2006/relationships/ctrlProp" Target="../ctrlProps/ctrlProp48.xml"/><Relationship Id="rId5" Type="http://schemas.openxmlformats.org/officeDocument/2006/relationships/hyperlink" Target="mailto:Ppanagiotopoulos@coach.com" TargetMode="External"/><Relationship Id="rId15" Type="http://schemas.openxmlformats.org/officeDocument/2006/relationships/hyperlink" Target="mailto:Mfong@coach.com" TargetMode="External"/><Relationship Id="rId23" Type="http://schemas.openxmlformats.org/officeDocument/2006/relationships/hyperlink" Target="mailto:NA%20Outlet%20Multi-Managers" TargetMode="External"/><Relationship Id="rId28" Type="http://schemas.openxmlformats.org/officeDocument/2006/relationships/hyperlink" Target="mailto:Lgrandhi@Coach.com" TargetMode="External"/><Relationship Id="rId36" Type="http://schemas.openxmlformats.org/officeDocument/2006/relationships/hyperlink" Target="Step%2011%20-%20Store%20Adjustments%20File.docx" TargetMode="External"/><Relationship Id="rId49" Type="http://schemas.openxmlformats.org/officeDocument/2006/relationships/ctrlProp" Target="../ctrlProps/ctrlProp31.xml"/><Relationship Id="rId57" Type="http://schemas.openxmlformats.org/officeDocument/2006/relationships/ctrlProp" Target="../ctrlProps/ctrlProp39.xml"/><Relationship Id="rId61" Type="http://schemas.openxmlformats.org/officeDocument/2006/relationships/ctrlProp" Target="../ctrlProps/ctrlProp43.xml"/><Relationship Id="rId10" Type="http://schemas.openxmlformats.org/officeDocument/2006/relationships/hyperlink" Target="mailto:JDiMarino@coach.com" TargetMode="External"/><Relationship Id="rId19" Type="http://schemas.openxmlformats.org/officeDocument/2006/relationships/hyperlink" Target="mailto:Rmarsh@coach.com" TargetMode="External"/><Relationship Id="rId31" Type="http://schemas.openxmlformats.org/officeDocument/2006/relationships/hyperlink" Target="mailto:JDiMarino@Coach.com" TargetMode="External"/><Relationship Id="rId44" Type="http://schemas.openxmlformats.org/officeDocument/2006/relationships/image" Target="../media/image14.emf"/><Relationship Id="rId52" Type="http://schemas.openxmlformats.org/officeDocument/2006/relationships/ctrlProp" Target="../ctrlProps/ctrlProp34.xml"/><Relationship Id="rId60" Type="http://schemas.openxmlformats.org/officeDocument/2006/relationships/ctrlProp" Target="../ctrlProps/ctrlProp42.xml"/><Relationship Id="rId65" Type="http://schemas.openxmlformats.org/officeDocument/2006/relationships/ctrlProp" Target="../ctrlProps/ctrlProp47.xml"/><Relationship Id="rId4" Type="http://schemas.openxmlformats.org/officeDocument/2006/relationships/hyperlink" Target="mailto:jdunn@coach.com" TargetMode="External"/><Relationship Id="rId9" Type="http://schemas.openxmlformats.org/officeDocument/2006/relationships/hyperlink" Target="mailto:Mfong@coach.com" TargetMode="External"/><Relationship Id="rId14" Type="http://schemas.openxmlformats.org/officeDocument/2006/relationships/hyperlink" Target="mailto:Ahsieh@coach.com" TargetMode="External"/><Relationship Id="rId22" Type="http://schemas.openxmlformats.org/officeDocument/2006/relationships/hyperlink" Target="../Onboarding%20Docs/5.1%20Varicent%20Instruction%20Manual.pdf" TargetMode="External"/><Relationship Id="rId27" Type="http://schemas.openxmlformats.org/officeDocument/2006/relationships/hyperlink" Target="mailto:Bquin@Coach.com" TargetMode="External"/><Relationship Id="rId30" Type="http://schemas.openxmlformats.org/officeDocument/2006/relationships/hyperlink" Target="mailto:Mfong@Coach.com" TargetMode="External"/><Relationship Id="rId35" Type="http://schemas.openxmlformats.org/officeDocument/2006/relationships/hyperlink" Target="mailto:Rpullman@Coach.com" TargetMode="External"/><Relationship Id="rId43" Type="http://schemas.openxmlformats.org/officeDocument/2006/relationships/control" Target="../activeX/activeX14.xml"/><Relationship Id="rId48" Type="http://schemas.openxmlformats.org/officeDocument/2006/relationships/image" Target="../media/image16.emf"/><Relationship Id="rId56" Type="http://schemas.openxmlformats.org/officeDocument/2006/relationships/ctrlProp" Target="../ctrlProps/ctrlProp38.xml"/><Relationship Id="rId64" Type="http://schemas.openxmlformats.org/officeDocument/2006/relationships/ctrlProp" Target="../ctrlProps/ctrlProp46.xml"/><Relationship Id="rId8" Type="http://schemas.openxmlformats.org/officeDocument/2006/relationships/hyperlink" Target="mailto:Ahsieh@coach.com" TargetMode="External"/><Relationship Id="rId51" Type="http://schemas.openxmlformats.org/officeDocument/2006/relationships/ctrlProp" Target="../ctrlProps/ctrlProp33.xml"/><Relationship Id="rId3" Type="http://schemas.openxmlformats.org/officeDocument/2006/relationships/hyperlink" Target="mailto:BMCGUIRE@coach.com" TargetMode="External"/><Relationship Id="rId12" Type="http://schemas.openxmlformats.org/officeDocument/2006/relationships/hyperlink" Target="mailto:Bquin@coach.com" TargetMode="External"/><Relationship Id="rId17" Type="http://schemas.openxmlformats.org/officeDocument/2006/relationships/hyperlink" Target="mailto:Rpullman@coach.com" TargetMode="External"/><Relationship Id="rId25" Type="http://schemas.openxmlformats.org/officeDocument/2006/relationships/hyperlink" Target="mailto:jdunn@coach.com" TargetMode="External"/><Relationship Id="rId33" Type="http://schemas.openxmlformats.org/officeDocument/2006/relationships/hyperlink" Target="mailto:Jbouissou@Coach.com" TargetMode="External"/><Relationship Id="rId38" Type="http://schemas.openxmlformats.org/officeDocument/2006/relationships/hyperlink" Target="Process%20Documentation\Step%208-%20Monthly%20TS%20Goals%20File.docx" TargetMode="External"/><Relationship Id="rId46" Type="http://schemas.openxmlformats.org/officeDocument/2006/relationships/image" Target="../media/image15.emf"/><Relationship Id="rId59" Type="http://schemas.openxmlformats.org/officeDocument/2006/relationships/ctrlProp" Target="../ctrlProps/ctrlProp41.xml"/><Relationship Id="rId67" Type="http://schemas.openxmlformats.org/officeDocument/2006/relationships/ctrlProp" Target="../ctrlProps/ctrlProp49.xml"/><Relationship Id="rId20" Type="http://schemas.openxmlformats.org/officeDocument/2006/relationships/hyperlink" Target="mailto:Thache@coach.com" TargetMode="External"/><Relationship Id="rId41" Type="http://schemas.openxmlformats.org/officeDocument/2006/relationships/drawing" Target="../drawings/drawing2.xml"/><Relationship Id="rId54" Type="http://schemas.openxmlformats.org/officeDocument/2006/relationships/ctrlProp" Target="../ctrlProps/ctrlProp36.xml"/><Relationship Id="rId62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Q113"/>
  <sheetViews>
    <sheetView tabSelected="1" zoomScaleNormal="100" zoomScaleSheetLayoutView="70" workbookViewId="0">
      <pane ySplit="5" topLeftCell="A6" activePane="bottomLeft" state="frozen"/>
      <selection pane="bottomLeft" activeCell="G79" sqref="G79:G80"/>
    </sheetView>
  </sheetViews>
  <sheetFormatPr defaultRowHeight="15" outlineLevelRow="1" outlineLevelCol="1" x14ac:dyDescent="0.25"/>
  <cols>
    <col min="1" max="1" width="14.28515625" style="42" customWidth="1"/>
    <col min="2" max="2" width="9" style="55" bestFit="1" customWidth="1"/>
    <col min="3" max="3" width="23.85546875" style="42" customWidth="1"/>
    <col min="4" max="4" width="24.5703125" style="42" customWidth="1"/>
    <col min="5" max="5" width="19" style="55" customWidth="1"/>
    <col min="6" max="6" width="9.5703125" style="42" customWidth="1"/>
    <col min="7" max="7" width="17" style="42" customWidth="1"/>
    <col min="8" max="8" width="16.5703125" style="42" customWidth="1"/>
    <col min="9" max="9" width="29.140625" style="42" customWidth="1"/>
    <col min="10" max="10" width="27.85546875" style="42" customWidth="1"/>
    <col min="11" max="11" width="11.42578125" style="44" customWidth="1"/>
    <col min="12" max="12" width="27.85546875" style="42" customWidth="1" outlineLevel="1"/>
    <col min="13" max="13" width="9.7109375" style="42" customWidth="1" outlineLevel="1"/>
    <col min="14" max="14" width="5.5703125" style="42" customWidth="1" outlineLevel="1"/>
    <col min="15" max="15" width="29.140625" style="42" customWidth="1" outlineLevel="1"/>
    <col min="16" max="16" width="15.140625" style="42" customWidth="1" outlineLevel="1"/>
    <col min="17" max="17" width="10.7109375" style="42" bestFit="1" customWidth="1"/>
    <col min="18" max="16384" width="9.140625" style="42"/>
  </cols>
  <sheetData>
    <row r="1" spans="1:17" ht="20.25" customHeight="1" x14ac:dyDescent="0.25">
      <c r="A1" s="277" t="s">
        <v>335</v>
      </c>
      <c r="B1" s="277"/>
      <c r="C1" s="277"/>
      <c r="D1" s="277"/>
      <c r="E1" s="277"/>
      <c r="F1" s="277"/>
      <c r="G1" s="277"/>
      <c r="H1" s="278" t="s">
        <v>61</v>
      </c>
      <c r="I1" s="279"/>
      <c r="J1" s="216">
        <v>2017</v>
      </c>
      <c r="K1" s="217" t="str">
        <f>RIGHT(J1,2)</f>
        <v>17</v>
      </c>
      <c r="L1" s="218" t="s">
        <v>156</v>
      </c>
      <c r="M1" s="219">
        <f>K1-1</f>
        <v>16</v>
      </c>
      <c r="N1" s="273"/>
      <c r="O1" s="194"/>
      <c r="P1" s="47" t="s">
        <v>173</v>
      </c>
      <c r="Q1" s="48">
        <v>42400</v>
      </c>
    </row>
    <row r="2" spans="1:17" ht="36.75" customHeight="1" x14ac:dyDescent="0.25">
      <c r="A2" s="309" t="s">
        <v>341</v>
      </c>
      <c r="B2" s="310"/>
      <c r="C2" s="310"/>
      <c r="D2" s="310"/>
      <c r="E2" s="311"/>
      <c r="F2" s="220" t="s">
        <v>170</v>
      </c>
      <c r="G2" s="221">
        <v>42589</v>
      </c>
      <c r="H2" s="280" t="s">
        <v>74</v>
      </c>
      <c r="I2" s="281"/>
      <c r="J2" s="284" t="s">
        <v>94</v>
      </c>
      <c r="K2" s="217" t="str">
        <f>VLOOKUP(J2,Sheet2!A:B,2,FALSE)</f>
        <v>August</v>
      </c>
      <c r="L2" s="218">
        <f>J1-1</f>
        <v>2016</v>
      </c>
      <c r="M2" s="219" t="s">
        <v>157</v>
      </c>
      <c r="N2" s="274"/>
      <c r="O2" s="243"/>
      <c r="P2" s="47" t="s">
        <v>174</v>
      </c>
      <c r="Q2" s="48">
        <v>42427</v>
      </c>
    </row>
    <row r="3" spans="1:17" ht="39.75" customHeight="1" thickBot="1" x14ac:dyDescent="0.3">
      <c r="A3" s="309" t="s">
        <v>342</v>
      </c>
      <c r="B3" s="310"/>
      <c r="C3" s="310"/>
      <c r="D3" s="310"/>
      <c r="E3" s="311"/>
      <c r="F3" s="222" t="s">
        <v>171</v>
      </c>
      <c r="G3" s="223">
        <v>42616</v>
      </c>
      <c r="H3" s="282"/>
      <c r="I3" s="283"/>
      <c r="J3" s="285"/>
      <c r="K3" s="217" t="str">
        <f>LEFT(VLOOKUP(J2,Sheet2!A:B,2,FALSE),3)</f>
        <v>Aug</v>
      </c>
      <c r="L3" s="218" t="str">
        <f>VLOOKUP(J2,Sheet2!A:C,3,FALSE)</f>
        <v>P01</v>
      </c>
      <c r="M3" s="224" t="str">
        <f>LEFT(VLOOKUP(L3,Sheet2!A:B,2,FALSE),3)</f>
        <v>Jul</v>
      </c>
      <c r="N3" s="274"/>
      <c r="O3" s="243"/>
    </row>
    <row r="4" spans="1:17" ht="30" customHeight="1" x14ac:dyDescent="0.25">
      <c r="A4" s="195" t="s">
        <v>0</v>
      </c>
      <c r="B4" s="196" t="s">
        <v>2</v>
      </c>
      <c r="C4" s="244" t="s">
        <v>4</v>
      </c>
      <c r="D4" s="196" t="s">
        <v>5</v>
      </c>
      <c r="E4" s="196" t="s">
        <v>7</v>
      </c>
      <c r="F4" s="244" t="s">
        <v>50</v>
      </c>
      <c r="G4" s="244" t="s">
        <v>51</v>
      </c>
      <c r="H4" s="244" t="s">
        <v>52</v>
      </c>
      <c r="I4" s="244" t="s">
        <v>194</v>
      </c>
      <c r="J4" s="244" t="s">
        <v>54</v>
      </c>
      <c r="K4" s="244" t="s">
        <v>56</v>
      </c>
      <c r="L4" s="269" t="s">
        <v>136</v>
      </c>
      <c r="M4" s="246"/>
      <c r="N4" s="292"/>
      <c r="O4" s="243"/>
    </row>
    <row r="5" spans="1:17" s="27" customFormat="1" ht="15.75" customHeight="1" thickBot="1" x14ac:dyDescent="0.3">
      <c r="A5" s="197" t="s">
        <v>1</v>
      </c>
      <c r="B5" s="198" t="s">
        <v>3</v>
      </c>
      <c r="C5" s="245"/>
      <c r="D5" s="198" t="s">
        <v>6</v>
      </c>
      <c r="E5" s="198" t="s">
        <v>8</v>
      </c>
      <c r="F5" s="245"/>
      <c r="G5" s="245"/>
      <c r="H5" s="245"/>
      <c r="I5" s="245"/>
      <c r="J5" s="245"/>
      <c r="K5" s="245"/>
      <c r="L5" s="269"/>
      <c r="M5" s="247"/>
      <c r="N5" s="292"/>
      <c r="O5" s="243"/>
    </row>
    <row r="6" spans="1:17" ht="115.5" customHeight="1" thickBot="1" x14ac:dyDescent="0.3">
      <c r="A6" s="471" t="s">
        <v>236</v>
      </c>
      <c r="B6" s="203" t="s">
        <v>20</v>
      </c>
      <c r="C6" s="199" t="s">
        <v>237</v>
      </c>
      <c r="D6" s="204" t="s">
        <v>238</v>
      </c>
      <c r="E6" s="205" t="s">
        <v>239</v>
      </c>
      <c r="F6" s="204"/>
      <c r="G6" s="204" t="s">
        <v>240</v>
      </c>
      <c r="H6" s="205"/>
      <c r="I6" s="206" t="s">
        <v>131</v>
      </c>
      <c r="J6" s="207" t="s">
        <v>132</v>
      </c>
      <c r="K6" s="208" t="s">
        <v>241</v>
      </c>
      <c r="L6" s="234" t="s">
        <v>337</v>
      </c>
    </row>
    <row r="7" spans="1:17" ht="114" customHeight="1" thickBot="1" x14ac:dyDescent="0.3">
      <c r="A7" s="472">
        <v>1</v>
      </c>
      <c r="B7" s="203" t="s">
        <v>9</v>
      </c>
      <c r="C7" s="200" t="s">
        <v>338</v>
      </c>
      <c r="D7" s="204" t="s">
        <v>208</v>
      </c>
      <c r="E7" s="210" t="s">
        <v>175</v>
      </c>
      <c r="F7" s="204"/>
      <c r="G7" s="204" t="s">
        <v>53</v>
      </c>
      <c r="H7" s="204"/>
      <c r="I7" s="211" t="s">
        <v>55</v>
      </c>
      <c r="J7" s="212" t="s">
        <v>221</v>
      </c>
      <c r="K7" s="202" t="str">
        <f>"Heidi &amp; Deborah"</f>
        <v>Heidi &amp; Deborah</v>
      </c>
      <c r="L7" s="235"/>
      <c r="N7" s="43"/>
      <c r="O7" s="44"/>
    </row>
    <row r="8" spans="1:17" ht="99" customHeight="1" thickBot="1" x14ac:dyDescent="0.3">
      <c r="A8" s="472">
        <v>2</v>
      </c>
      <c r="B8" s="203" t="s">
        <v>9</v>
      </c>
      <c r="C8" s="199" t="s">
        <v>339</v>
      </c>
      <c r="D8" s="204" t="s">
        <v>139</v>
      </c>
      <c r="E8" s="203" t="s">
        <v>176</v>
      </c>
      <c r="F8" s="199"/>
      <c r="G8" s="199" t="s">
        <v>219</v>
      </c>
      <c r="H8" s="199"/>
      <c r="I8" s="209" t="s">
        <v>224</v>
      </c>
      <c r="J8" s="207" t="s">
        <v>225</v>
      </c>
      <c r="K8" s="208" t="s">
        <v>218</v>
      </c>
      <c r="L8" s="235"/>
      <c r="N8" s="43"/>
      <c r="O8" s="44"/>
      <c r="P8" s="27"/>
      <c r="Q8" s="27"/>
    </row>
    <row r="9" spans="1:17" ht="91.5" customHeight="1" thickBot="1" x14ac:dyDescent="0.3">
      <c r="A9" s="472">
        <v>3</v>
      </c>
      <c r="B9" s="213" t="s">
        <v>9</v>
      </c>
      <c r="C9" s="201" t="s">
        <v>340</v>
      </c>
      <c r="D9" s="214" t="s">
        <v>10</v>
      </c>
      <c r="E9" s="215" t="s">
        <v>11</v>
      </c>
      <c r="F9" s="214"/>
      <c r="G9" s="214" t="s">
        <v>183</v>
      </c>
      <c r="H9" s="214"/>
      <c r="I9" s="202" t="s">
        <v>162</v>
      </c>
      <c r="J9" s="207" t="s">
        <v>163</v>
      </c>
      <c r="K9" s="208" t="str">
        <f>TRIM(IF(ISERROR(LEFT(I9,FIND(" ",I9))),"",LEFT(I9,FIND(" ",I9))))</f>
        <v>Betsy</v>
      </c>
      <c r="L9" s="236"/>
      <c r="N9" s="45"/>
    </row>
    <row r="10" spans="1:17" ht="30" customHeight="1" x14ac:dyDescent="0.25">
      <c r="A10" s="473">
        <v>4</v>
      </c>
      <c r="B10" s="253" t="s">
        <v>9</v>
      </c>
      <c r="C10" s="312" t="s">
        <v>140</v>
      </c>
      <c r="D10" s="182" t="s">
        <v>12</v>
      </c>
      <c r="E10" s="253" t="s">
        <v>15</v>
      </c>
      <c r="F10" s="253"/>
      <c r="G10" s="253"/>
      <c r="H10" s="253"/>
      <c r="I10" s="263" t="s">
        <v>142</v>
      </c>
      <c r="J10" s="260"/>
      <c r="K10" s="266" t="str">
        <f>IF(ISERROR(LEFT(#REF!,FIND(" ",#REF!))),"",LEFT(#REF!,FIND(" ",#REF!)))</f>
        <v/>
      </c>
      <c r="L10" s="78"/>
    </row>
    <row r="11" spans="1:17" ht="30" customHeight="1" x14ac:dyDescent="0.25">
      <c r="A11" s="474"/>
      <c r="B11" s="254"/>
      <c r="C11" s="313"/>
      <c r="D11" s="182" t="s">
        <v>13</v>
      </c>
      <c r="E11" s="254"/>
      <c r="F11" s="254"/>
      <c r="G11" s="254"/>
      <c r="H11" s="254"/>
      <c r="I11" s="264"/>
      <c r="J11" s="261"/>
      <c r="K11" s="267"/>
      <c r="L11" s="85"/>
      <c r="M11" s="232"/>
      <c r="N11" s="232"/>
      <c r="O11" s="232"/>
      <c r="P11" s="46"/>
    </row>
    <row r="12" spans="1:17" ht="30" customHeight="1" x14ac:dyDescent="0.25">
      <c r="A12" s="474"/>
      <c r="B12" s="254"/>
      <c r="C12" s="313"/>
      <c r="D12" s="183" t="s">
        <v>14</v>
      </c>
      <c r="E12" s="254"/>
      <c r="F12" s="254"/>
      <c r="G12" s="254"/>
      <c r="H12" s="254"/>
      <c r="I12" s="264"/>
      <c r="J12" s="261"/>
      <c r="K12" s="267"/>
      <c r="L12" s="233"/>
    </row>
    <row r="13" spans="1:17" ht="30" customHeight="1" thickBot="1" x14ac:dyDescent="0.3">
      <c r="A13" s="475"/>
      <c r="B13" s="255"/>
      <c r="C13" s="314"/>
      <c r="D13" s="185" t="s">
        <v>141</v>
      </c>
      <c r="E13" s="255"/>
      <c r="F13" s="255"/>
      <c r="G13" s="255"/>
      <c r="H13" s="255"/>
      <c r="I13" s="265"/>
      <c r="J13" s="262"/>
      <c r="K13" s="268"/>
      <c r="L13" s="79"/>
    </row>
    <row r="14" spans="1:17" ht="39" customHeight="1" x14ac:dyDescent="0.25">
      <c r="A14" s="473">
        <v>5</v>
      </c>
      <c r="B14" s="253" t="s">
        <v>9</v>
      </c>
      <c r="C14" s="312" t="s">
        <v>16</v>
      </c>
      <c r="D14" s="182" t="s">
        <v>17</v>
      </c>
      <c r="E14" s="253" t="s">
        <v>167</v>
      </c>
      <c r="F14" s="253"/>
      <c r="G14" s="253"/>
      <c r="H14" s="253"/>
      <c r="I14" s="263" t="s">
        <v>181</v>
      </c>
      <c r="J14" s="260"/>
      <c r="K14" s="266"/>
      <c r="L14" s="240" t="s">
        <v>184</v>
      </c>
    </row>
    <row r="15" spans="1:17" ht="24.75" customHeight="1" x14ac:dyDescent="0.25">
      <c r="A15" s="474"/>
      <c r="B15" s="254"/>
      <c r="C15" s="313"/>
      <c r="D15" s="182" t="s">
        <v>18</v>
      </c>
      <c r="E15" s="254"/>
      <c r="F15" s="254"/>
      <c r="G15" s="254"/>
      <c r="H15" s="254"/>
      <c r="I15" s="264"/>
      <c r="J15" s="261"/>
      <c r="K15" s="267"/>
      <c r="L15" s="241"/>
    </row>
    <row r="16" spans="1:17" ht="27" customHeight="1" thickBot="1" x14ac:dyDescent="0.3">
      <c r="A16" s="475"/>
      <c r="B16" s="255"/>
      <c r="C16" s="314"/>
      <c r="D16" s="186" t="s">
        <v>19</v>
      </c>
      <c r="E16" s="255"/>
      <c r="F16" s="255"/>
      <c r="G16" s="255"/>
      <c r="H16" s="255"/>
      <c r="I16" s="265"/>
      <c r="J16" s="262"/>
      <c r="K16" s="268"/>
      <c r="L16" s="242"/>
    </row>
    <row r="17" spans="1:15" ht="19.5" hidden="1" customHeight="1" outlineLevel="1" collapsed="1" thickBot="1" x14ac:dyDescent="0.3">
      <c r="A17" s="476" t="s">
        <v>336</v>
      </c>
      <c r="B17" s="237" t="s">
        <v>20</v>
      </c>
      <c r="C17" s="315" t="s">
        <v>180</v>
      </c>
      <c r="D17" s="237" t="e">
        <f>- E-mails from Caitlin Jovovich and Jen Saunders will contain information for the Retail &amp; Outlet Acting &amp; Additional Bonus</f>
        <v>#NAME?</v>
      </c>
      <c r="E17" s="237" t="s">
        <v>22</v>
      </c>
      <c r="F17" s="237"/>
      <c r="G17" s="287"/>
      <c r="H17" s="237"/>
      <c r="I17" s="35" t="s">
        <v>126</v>
      </c>
      <c r="J17" s="34" t="s">
        <v>126</v>
      </c>
      <c r="K17" s="36"/>
      <c r="L17" s="117"/>
    </row>
    <row r="18" spans="1:15" ht="19.5" hidden="1" customHeight="1" outlineLevel="1" thickBot="1" x14ac:dyDescent="0.3">
      <c r="A18" s="477"/>
      <c r="B18" s="238"/>
      <c r="C18" s="316"/>
      <c r="D18" s="238"/>
      <c r="E18" s="238"/>
      <c r="F18" s="238"/>
      <c r="G18" s="288"/>
      <c r="H18" s="238"/>
      <c r="I18" s="35" t="s">
        <v>127</v>
      </c>
      <c r="J18" s="34" t="s">
        <v>127</v>
      </c>
      <c r="K18" s="36"/>
      <c r="L18" s="270"/>
    </row>
    <row r="19" spans="1:15" ht="19.5" hidden="1" customHeight="1" outlineLevel="1" thickBot="1" x14ac:dyDescent="0.3">
      <c r="A19" s="477"/>
      <c r="B19" s="238"/>
      <c r="C19" s="316"/>
      <c r="D19" s="238"/>
      <c r="E19" s="238"/>
      <c r="F19" s="238"/>
      <c r="G19" s="288"/>
      <c r="H19" s="238"/>
      <c r="I19" s="35" t="s">
        <v>128</v>
      </c>
      <c r="J19" s="33" t="s">
        <v>133</v>
      </c>
      <c r="K19" s="36" t="str">
        <f t="shared" ref="K19:K22" si="0">TRIM(IF(ISERROR(LEFT(I19,FIND(" ",I19))),"",LEFT(I19,FIND(" ",I19))))</f>
        <v>Catherine</v>
      </c>
      <c r="L19" s="272"/>
    </row>
    <row r="20" spans="1:15" ht="19.5" hidden="1" customHeight="1" outlineLevel="1" thickBot="1" x14ac:dyDescent="0.3">
      <c r="A20" s="477"/>
      <c r="B20" s="238"/>
      <c r="C20" s="316"/>
      <c r="D20" s="238"/>
      <c r="E20" s="238"/>
      <c r="F20" s="238"/>
      <c r="G20" s="288"/>
      <c r="H20" s="238"/>
      <c r="I20" s="35" t="s">
        <v>129</v>
      </c>
      <c r="J20" s="33" t="s">
        <v>134</v>
      </c>
      <c r="K20" s="36" t="str">
        <f t="shared" si="0"/>
        <v>Rebecca</v>
      </c>
      <c r="L20" s="293"/>
    </row>
    <row r="21" spans="1:15" ht="19.5" hidden="1" customHeight="1" outlineLevel="1" thickBot="1" x14ac:dyDescent="0.3">
      <c r="A21" s="477"/>
      <c r="B21" s="238"/>
      <c r="C21" s="316"/>
      <c r="D21" s="238"/>
      <c r="E21" s="238"/>
      <c r="F21" s="238"/>
      <c r="G21" s="288"/>
      <c r="H21" s="238"/>
      <c r="I21" s="35" t="s">
        <v>130</v>
      </c>
      <c r="J21" s="33" t="s">
        <v>135</v>
      </c>
      <c r="K21" s="36" t="str">
        <f t="shared" si="0"/>
        <v>Tracey</v>
      </c>
      <c r="L21" s="294"/>
    </row>
    <row r="22" spans="1:15" ht="19.5" hidden="1" customHeight="1" outlineLevel="1" thickBot="1" x14ac:dyDescent="0.3">
      <c r="A22" s="477"/>
      <c r="B22" s="238"/>
      <c r="C22" s="316"/>
      <c r="D22" s="238"/>
      <c r="E22" s="238"/>
      <c r="F22" s="238"/>
      <c r="G22" s="288"/>
      <c r="H22" s="238"/>
      <c r="I22" s="32" t="s">
        <v>58</v>
      </c>
      <c r="J22" s="11" t="s">
        <v>59</v>
      </c>
      <c r="K22" s="65" t="str">
        <f t="shared" si="0"/>
        <v>Beth</v>
      </c>
      <c r="L22" s="52"/>
    </row>
    <row r="23" spans="1:15" ht="19.5" hidden="1" customHeight="1" outlineLevel="1" thickBot="1" x14ac:dyDescent="0.3">
      <c r="A23" s="477"/>
      <c r="B23" s="238"/>
      <c r="C23" s="316"/>
      <c r="D23" s="238"/>
      <c r="E23" s="238"/>
      <c r="F23" s="238"/>
      <c r="G23" s="288"/>
      <c r="H23" s="238"/>
      <c r="I23" s="32" t="s">
        <v>79</v>
      </c>
      <c r="J23" s="15" t="s">
        <v>83</v>
      </c>
      <c r="K23" s="65" t="str">
        <f>TRIM(IF(ISERROR(LEFT(I23,FIND(" ",I23))),"",LEFT(I23,FIND(" ",I23))))</f>
        <v>Anisa</v>
      </c>
      <c r="L23" s="53"/>
    </row>
    <row r="24" spans="1:15" ht="19.5" hidden="1" customHeight="1" outlineLevel="1" thickBot="1" x14ac:dyDescent="0.3">
      <c r="A24" s="477"/>
      <c r="B24" s="238"/>
      <c r="C24" s="316"/>
      <c r="D24" s="238"/>
      <c r="E24" s="238"/>
      <c r="F24" s="238"/>
      <c r="G24" s="288"/>
      <c r="H24" s="238"/>
      <c r="I24" s="32" t="s">
        <v>80</v>
      </c>
      <c r="J24" s="18" t="s">
        <v>84</v>
      </c>
      <c r="K24" s="65" t="str">
        <f>TRIM(IF(ISERROR(LEFT(I24,FIND(" ",I24))),"",LEFT(I24,FIND(" ",I24))))</f>
        <v>Michelle</v>
      </c>
      <c r="L24" s="53"/>
    </row>
    <row r="25" spans="1:15" ht="19.5" hidden="1" customHeight="1" outlineLevel="1" thickBot="1" x14ac:dyDescent="0.3">
      <c r="A25" s="477"/>
      <c r="B25" s="238"/>
      <c r="C25" s="316"/>
      <c r="D25" s="238"/>
      <c r="E25" s="238"/>
      <c r="F25" s="238"/>
      <c r="G25" s="288"/>
      <c r="H25" s="238"/>
      <c r="I25" s="32" t="s">
        <v>81</v>
      </c>
      <c r="J25" s="15" t="s">
        <v>85</v>
      </c>
      <c r="K25" s="65" t="str">
        <f>TRIM(IF(ISERROR(LEFT(I25,FIND(" ",I25))),"",LEFT(I25,FIND(" ",I25))))</f>
        <v>Jennifer</v>
      </c>
      <c r="L25" s="53"/>
    </row>
    <row r="26" spans="1:15" ht="19.5" hidden="1" customHeight="1" outlineLevel="1" thickBot="1" x14ac:dyDescent="0.3">
      <c r="A26" s="477"/>
      <c r="B26" s="238"/>
      <c r="C26" s="316"/>
      <c r="D26" s="238"/>
      <c r="E26" s="238"/>
      <c r="F26" s="238"/>
      <c r="G26" s="288"/>
      <c r="H26" s="238"/>
      <c r="I26" s="32" t="s">
        <v>131</v>
      </c>
      <c r="J26" s="18" t="s">
        <v>132</v>
      </c>
      <c r="K26" s="65" t="str">
        <f>TRIM(IF(ISERROR(LEFT(I26,FIND(" ",I26))),"",LEFT(I26,FIND(" ",I26))))</f>
        <v>Richard</v>
      </c>
      <c r="L26" s="53"/>
    </row>
    <row r="27" spans="1:15" ht="19.5" hidden="1" customHeight="1" outlineLevel="1" thickBot="1" x14ac:dyDescent="0.3">
      <c r="A27" s="477"/>
      <c r="B27" s="238"/>
      <c r="C27" s="316"/>
      <c r="D27" s="239"/>
      <c r="E27" s="239"/>
      <c r="F27" s="239"/>
      <c r="G27" s="289"/>
      <c r="H27" s="239"/>
      <c r="I27" s="31" t="s">
        <v>57</v>
      </c>
      <c r="J27" s="11" t="s">
        <v>60</v>
      </c>
      <c r="K27" s="66" t="str">
        <f>TRIM(IF(ISERROR(LEFT(I27,FIND(" ",I27))),"",LEFT(I27,FIND(" ",I27))))</f>
        <v>Sarah</v>
      </c>
      <c r="L27" s="53"/>
    </row>
    <row r="28" spans="1:15" ht="49.5" customHeight="1" collapsed="1" x14ac:dyDescent="0.25">
      <c r="A28" s="478" t="s">
        <v>209</v>
      </c>
      <c r="B28" s="248" t="s">
        <v>20</v>
      </c>
      <c r="C28" s="317" t="s">
        <v>138</v>
      </c>
      <c r="D28" s="187" t="s">
        <v>25</v>
      </c>
      <c r="E28" s="248" t="s">
        <v>168</v>
      </c>
      <c r="F28" s="248"/>
      <c r="G28" s="248"/>
      <c r="H28" s="248"/>
      <c r="I28" s="275" t="s">
        <v>169</v>
      </c>
      <c r="J28" s="256"/>
      <c r="K28" s="257"/>
      <c r="L28" s="270"/>
    </row>
    <row r="29" spans="1:15" ht="49.5" customHeight="1" thickBot="1" x14ac:dyDescent="0.3">
      <c r="A29" s="479"/>
      <c r="B29" s="249"/>
      <c r="C29" s="318"/>
      <c r="D29" s="188" t="s">
        <v>220</v>
      </c>
      <c r="E29" s="249"/>
      <c r="F29" s="249"/>
      <c r="G29" s="249"/>
      <c r="H29" s="249"/>
      <c r="I29" s="286"/>
      <c r="J29" s="258"/>
      <c r="K29" s="259"/>
      <c r="L29" s="271"/>
      <c r="M29" s="45"/>
      <c r="N29" s="45"/>
      <c r="O29" s="45"/>
    </row>
    <row r="30" spans="1:15" ht="24" customHeight="1" x14ac:dyDescent="0.25">
      <c r="A30" s="476" t="s">
        <v>210</v>
      </c>
      <c r="B30" s="248" t="s">
        <v>20</v>
      </c>
      <c r="C30" s="248" t="s">
        <v>23</v>
      </c>
      <c r="D30" s="337" t="s">
        <v>159</v>
      </c>
      <c r="E30" s="248" t="s">
        <v>24</v>
      </c>
      <c r="F30" s="248"/>
      <c r="G30" s="248"/>
      <c r="H30" s="248"/>
      <c r="I30" s="275" t="s">
        <v>213</v>
      </c>
      <c r="J30" s="295"/>
      <c r="K30" s="296"/>
      <c r="L30" s="290" t="s">
        <v>185</v>
      </c>
    </row>
    <row r="31" spans="1:15" ht="24" customHeight="1" thickBot="1" x14ac:dyDescent="0.3">
      <c r="A31" s="477"/>
      <c r="B31" s="249"/>
      <c r="C31" s="250"/>
      <c r="D31" s="338"/>
      <c r="E31" s="250"/>
      <c r="F31" s="250"/>
      <c r="G31" s="250"/>
      <c r="H31" s="250"/>
      <c r="I31" s="276"/>
      <c r="J31" s="297"/>
      <c r="K31" s="298"/>
      <c r="L31" s="291"/>
    </row>
    <row r="32" spans="1:15" ht="66" hidden="1" customHeight="1" outlineLevel="1" x14ac:dyDescent="0.25">
      <c r="A32" s="476" t="s">
        <v>188</v>
      </c>
      <c r="B32" s="248" t="s">
        <v>20</v>
      </c>
      <c r="C32" s="248" t="s">
        <v>186</v>
      </c>
      <c r="D32" s="337" t="s">
        <v>189</v>
      </c>
      <c r="E32" s="248" t="s">
        <v>190</v>
      </c>
      <c r="F32" s="189"/>
      <c r="G32" s="189"/>
      <c r="H32" s="190"/>
      <c r="I32" s="77"/>
      <c r="J32" s="307" t="s">
        <v>230</v>
      </c>
      <c r="K32" s="308"/>
      <c r="L32" s="299" t="s">
        <v>187</v>
      </c>
    </row>
    <row r="33" spans="1:12" ht="36" hidden="1" customHeight="1" outlineLevel="1" thickBot="1" x14ac:dyDescent="0.3">
      <c r="A33" s="480"/>
      <c r="B33" s="250"/>
      <c r="C33" s="250"/>
      <c r="D33" s="338"/>
      <c r="E33" s="250"/>
      <c r="F33" s="191"/>
      <c r="G33" s="191"/>
      <c r="H33" s="192"/>
      <c r="I33" s="80"/>
      <c r="J33" s="301" t="s">
        <v>191</v>
      </c>
      <c r="K33" s="302"/>
      <c r="L33" s="300"/>
    </row>
    <row r="34" spans="1:12" ht="48.75" customHeight="1" collapsed="1" thickBot="1" x14ac:dyDescent="0.3">
      <c r="A34" s="476" t="s">
        <v>188</v>
      </c>
      <c r="B34" s="248" t="s">
        <v>20</v>
      </c>
      <c r="C34" s="343" t="s">
        <v>261</v>
      </c>
      <c r="D34" s="225" t="s">
        <v>262</v>
      </c>
      <c r="E34" s="226" t="s">
        <v>343</v>
      </c>
      <c r="F34" s="227"/>
      <c r="G34" s="227"/>
      <c r="H34" s="227"/>
      <c r="I34" s="228" t="s">
        <v>263</v>
      </c>
      <c r="J34" s="229" t="s">
        <v>264</v>
      </c>
      <c r="K34" s="230" t="str">
        <f>TRIM(IF(ISERROR(LEFT(I34,FIND(" ",I34))),"",LEFT(I34,FIND(" ",I34))))</f>
        <v>Erica</v>
      </c>
      <c r="L34" s="270"/>
    </row>
    <row r="35" spans="1:12" ht="54.75" customHeight="1" thickBot="1" x14ac:dyDescent="0.3">
      <c r="A35" s="477"/>
      <c r="B35" s="249"/>
      <c r="C35" s="344"/>
      <c r="D35" s="193" t="s">
        <v>265</v>
      </c>
      <c r="E35" s="249" t="s">
        <v>22</v>
      </c>
      <c r="F35" s="119" t="s">
        <v>266</v>
      </c>
      <c r="G35" s="231" t="s">
        <v>267</v>
      </c>
      <c r="H35" s="227"/>
      <c r="I35" s="228" t="s">
        <v>268</v>
      </c>
      <c r="J35" s="229" t="s">
        <v>269</v>
      </c>
      <c r="K35" s="230" t="str">
        <f>TRIM(IF(ISERROR(LEFT(I35,FIND(" ",I35))),"",LEFT(I35,FIND(" ",I35))))</f>
        <v>Julie</v>
      </c>
      <c r="L35" s="272"/>
    </row>
    <row r="36" spans="1:12" ht="38.25" customHeight="1" thickBot="1" x14ac:dyDescent="0.3">
      <c r="A36" s="477"/>
      <c r="B36" s="249"/>
      <c r="C36" s="344"/>
      <c r="D36" s="193" t="s">
        <v>270</v>
      </c>
      <c r="E36" s="249"/>
      <c r="F36" s="249"/>
      <c r="G36" s="249"/>
      <c r="H36" s="249"/>
      <c r="I36" s="65" t="s">
        <v>58</v>
      </c>
      <c r="J36" s="154" t="s">
        <v>59</v>
      </c>
      <c r="K36" s="155" t="str">
        <f>TRIM(IF(ISERROR(LEFT(I36,FIND(" ",I36))),"",LEFT(I36,FIND(" ",I36))))</f>
        <v>Beth</v>
      </c>
      <c r="L36" s="270"/>
    </row>
    <row r="37" spans="1:12" ht="27" customHeight="1" thickBot="1" x14ac:dyDescent="0.3">
      <c r="A37" s="477"/>
      <c r="B37" s="249"/>
      <c r="C37" s="344"/>
      <c r="D37" s="193" t="s">
        <v>271</v>
      </c>
      <c r="E37" s="346"/>
      <c r="F37" s="249"/>
      <c r="G37" s="348"/>
      <c r="H37" s="249"/>
      <c r="I37" s="155" t="s">
        <v>57</v>
      </c>
      <c r="J37" s="156" t="s">
        <v>60</v>
      </c>
      <c r="K37" s="66" t="str">
        <f>TRIM(IF(ISERROR(LEFT(I37,FIND(" ",I37))),"",LEFT(I37,FIND(" ",I37))))</f>
        <v>Sarah</v>
      </c>
      <c r="L37" s="271"/>
    </row>
    <row r="38" spans="1:12" ht="33.75" customHeight="1" thickBot="1" x14ac:dyDescent="0.3">
      <c r="A38" s="477"/>
      <c r="B38" s="249"/>
      <c r="C38" s="344"/>
      <c r="D38" s="193" t="s">
        <v>272</v>
      </c>
      <c r="E38" s="346"/>
      <c r="F38" s="249"/>
      <c r="G38" s="348"/>
      <c r="H38" s="249"/>
      <c r="I38" s="66" t="s">
        <v>273</v>
      </c>
      <c r="J38" s="11" t="s">
        <v>274</v>
      </c>
      <c r="K38" s="66" t="str">
        <f>TRIM(IF(ISERROR(LEFT(I38,FIND(" ",I38))),"",LEFT(I38,FIND(" ",I38))))</f>
        <v>Megan</v>
      </c>
      <c r="L38" s="271"/>
    </row>
    <row r="39" spans="1:12" ht="61.5" customHeight="1" x14ac:dyDescent="0.25">
      <c r="A39" s="477"/>
      <c r="B39" s="249"/>
      <c r="C39" s="344"/>
      <c r="D39" s="193" t="s">
        <v>275</v>
      </c>
      <c r="E39" s="346"/>
      <c r="F39" s="249"/>
      <c r="G39" s="348"/>
      <c r="H39" s="249"/>
      <c r="I39" s="157"/>
      <c r="J39" s="158"/>
      <c r="K39" s="159"/>
      <c r="L39" s="271"/>
    </row>
    <row r="40" spans="1:12" ht="39.75" customHeight="1" x14ac:dyDescent="0.25">
      <c r="A40" s="477"/>
      <c r="B40" s="249"/>
      <c r="C40" s="344"/>
      <c r="D40" s="342" t="s">
        <v>276</v>
      </c>
      <c r="E40" s="346"/>
      <c r="F40" s="249"/>
      <c r="G40" s="348"/>
      <c r="H40" s="249"/>
      <c r="I40" s="157"/>
      <c r="J40" s="158"/>
      <c r="K40" s="159"/>
      <c r="L40" s="271"/>
    </row>
    <row r="41" spans="1:12" ht="11.25" customHeight="1" thickBot="1" x14ac:dyDescent="0.3">
      <c r="A41" s="480"/>
      <c r="B41" s="250"/>
      <c r="C41" s="345"/>
      <c r="D41" s="338"/>
      <c r="E41" s="347"/>
      <c r="F41" s="250"/>
      <c r="G41" s="349"/>
      <c r="H41" s="250"/>
      <c r="I41" s="160"/>
      <c r="J41" s="161"/>
      <c r="K41" s="162"/>
      <c r="L41" s="272"/>
    </row>
    <row r="42" spans="1:12" ht="37.5" customHeight="1" thickBot="1" x14ac:dyDescent="0.3">
      <c r="A42" s="481" t="s">
        <v>214</v>
      </c>
      <c r="B42" s="439" t="s">
        <v>20</v>
      </c>
      <c r="C42" s="439" t="s">
        <v>26</v>
      </c>
      <c r="D42" s="439" t="s">
        <v>27</v>
      </c>
      <c r="E42" s="439" t="s">
        <v>22</v>
      </c>
      <c r="F42" s="186"/>
      <c r="G42" s="186"/>
      <c r="H42" s="186"/>
      <c r="I42" s="184"/>
      <c r="J42" s="440"/>
      <c r="K42" s="441" t="str">
        <f t="shared" ref="K42" si="1">IF(ISERROR(LEFT(I42,FIND(" ",I42))),"",LEFT(I42,FIND(" ",I42)))</f>
        <v/>
      </c>
      <c r="L42" s="64"/>
    </row>
    <row r="43" spans="1:12" ht="35.25" customHeight="1" thickBot="1" x14ac:dyDescent="0.3">
      <c r="A43" s="481" t="s">
        <v>211</v>
      </c>
      <c r="B43" s="442" t="s">
        <v>20</v>
      </c>
      <c r="C43" s="442" t="s">
        <v>33</v>
      </c>
      <c r="D43" s="443"/>
      <c r="E43" s="442" t="s">
        <v>22</v>
      </c>
      <c r="F43" s="443"/>
      <c r="G43" s="443"/>
      <c r="H43" s="443"/>
      <c r="I43" s="444" t="s">
        <v>344</v>
      </c>
      <c r="J43" s="445"/>
      <c r="K43" s="441"/>
      <c r="L43" s="76"/>
    </row>
    <row r="44" spans="1:12" ht="26.25" customHeight="1" x14ac:dyDescent="0.25">
      <c r="A44" s="476" t="s">
        <v>212</v>
      </c>
      <c r="B44" s="460" t="s">
        <v>20</v>
      </c>
      <c r="C44" s="248" t="s">
        <v>82</v>
      </c>
      <c r="D44" s="248" t="s">
        <v>137</v>
      </c>
      <c r="E44" s="248"/>
      <c r="F44" s="248"/>
      <c r="G44" s="248"/>
      <c r="H44" s="248"/>
      <c r="I44" s="57" t="s">
        <v>75</v>
      </c>
      <c r="J44" s="24" t="s">
        <v>76</v>
      </c>
      <c r="K44" s="60" t="str">
        <f t="shared" ref="K44:K48" si="2">TRIM(IF(ISERROR(LEFT(I44,FIND(" ",I44))),"",LEFT(I44,FIND(" ",I44))))</f>
        <v>Jonathan</v>
      </c>
      <c r="L44" s="53"/>
    </row>
    <row r="45" spans="1:12" ht="30.75" thickBot="1" x14ac:dyDescent="0.3">
      <c r="A45" s="477"/>
      <c r="B45" s="346"/>
      <c r="C45" s="249"/>
      <c r="D45" s="249"/>
      <c r="E45" s="249"/>
      <c r="F45" s="249"/>
      <c r="G45" s="249"/>
      <c r="H45" s="249"/>
      <c r="I45" s="58" t="s">
        <v>77</v>
      </c>
      <c r="J45" s="13" t="s">
        <v>78</v>
      </c>
      <c r="K45" s="61" t="str">
        <f t="shared" si="2"/>
        <v>Peter</v>
      </c>
      <c r="L45" s="53"/>
    </row>
    <row r="46" spans="1:12" x14ac:dyDescent="0.25">
      <c r="A46" s="477"/>
      <c r="B46" s="346"/>
      <c r="C46" s="249"/>
      <c r="D46" s="249"/>
      <c r="E46" s="249"/>
      <c r="F46" s="249"/>
      <c r="G46" s="249"/>
      <c r="H46" s="249"/>
      <c r="I46" s="71" t="s">
        <v>58</v>
      </c>
      <c r="J46" s="14" t="s">
        <v>59</v>
      </c>
      <c r="K46" s="72" t="str">
        <f t="shared" si="2"/>
        <v>Beth</v>
      </c>
      <c r="L46" s="53"/>
    </row>
    <row r="47" spans="1:12" x14ac:dyDescent="0.25">
      <c r="A47" s="477"/>
      <c r="B47" s="346"/>
      <c r="C47" s="249"/>
      <c r="D47" s="249"/>
      <c r="E47" s="249"/>
      <c r="F47" s="249"/>
      <c r="G47" s="249"/>
      <c r="H47" s="249"/>
      <c r="I47" s="71" t="s">
        <v>79</v>
      </c>
      <c r="J47" s="15" t="s">
        <v>83</v>
      </c>
      <c r="K47" s="72" t="str">
        <f>TRIM(IF(ISERROR(LEFT(I47,FIND(" ",I47))),"",LEFT(I47,FIND(" ",I47))))</f>
        <v>Anisa</v>
      </c>
      <c r="L47" s="53"/>
    </row>
    <row r="48" spans="1:12" x14ac:dyDescent="0.25">
      <c r="A48" s="477"/>
      <c r="B48" s="346"/>
      <c r="C48" s="249"/>
      <c r="D48" s="249"/>
      <c r="E48" s="249"/>
      <c r="F48" s="249"/>
      <c r="G48" s="249"/>
      <c r="H48" s="249"/>
      <c r="I48" s="71" t="s">
        <v>81</v>
      </c>
      <c r="J48" s="15" t="s">
        <v>85</v>
      </c>
      <c r="K48" s="72" t="str">
        <f>TRIM(IF(ISERROR(LEFT(I48,FIND(" ",I48))),"",LEFT(I48,FIND(" ",I48))))</f>
        <v>Jennifer</v>
      </c>
      <c r="L48" s="53"/>
    </row>
    <row r="49" spans="1:12" x14ac:dyDescent="0.25">
      <c r="A49" s="477"/>
      <c r="B49" s="346"/>
      <c r="C49" s="249"/>
      <c r="D49" s="249"/>
      <c r="E49" s="249"/>
      <c r="F49" s="249"/>
      <c r="G49" s="249"/>
      <c r="H49" s="249"/>
      <c r="I49" s="71" t="s">
        <v>57</v>
      </c>
      <c r="J49" s="14" t="s">
        <v>86</v>
      </c>
      <c r="K49" s="92" t="str">
        <f>TRIM(IF(ISERROR(LEFT(I49,FIND(" ",I49))),"",LEFT(I49,FIND(" ",I49))))</f>
        <v>Sarah</v>
      </c>
      <c r="L49" s="53"/>
    </row>
    <row r="50" spans="1:12" x14ac:dyDescent="0.25">
      <c r="A50" s="477"/>
      <c r="B50" s="346"/>
      <c r="C50" s="249"/>
      <c r="D50" s="249"/>
      <c r="E50" s="249"/>
      <c r="F50" s="249"/>
      <c r="G50" s="249"/>
      <c r="H50" s="249"/>
      <c r="I50" s="71"/>
      <c r="J50" s="14"/>
      <c r="K50" s="92"/>
      <c r="L50" s="53"/>
    </row>
    <row r="51" spans="1:12" ht="15.75" thickBot="1" x14ac:dyDescent="0.3">
      <c r="A51" s="477"/>
      <c r="B51" s="347"/>
      <c r="C51" s="250"/>
      <c r="D51" s="250"/>
      <c r="E51" s="250"/>
      <c r="F51" s="250"/>
      <c r="G51" s="250"/>
      <c r="H51" s="250"/>
      <c r="I51" s="19"/>
      <c r="J51" s="11"/>
      <c r="K51" s="73"/>
      <c r="L51" s="53"/>
    </row>
    <row r="52" spans="1:12" ht="42.75" customHeight="1" thickBot="1" x14ac:dyDescent="0.3">
      <c r="A52" s="476" t="s">
        <v>215</v>
      </c>
      <c r="B52" s="461" t="s">
        <v>20</v>
      </c>
      <c r="C52" s="446" t="s">
        <v>153</v>
      </c>
      <c r="D52" s="447" t="s">
        <v>143</v>
      </c>
      <c r="E52" s="448"/>
      <c r="F52" s="448"/>
      <c r="G52" s="449" t="s">
        <v>154</v>
      </c>
      <c r="H52" s="448"/>
      <c r="I52" s="57" t="s">
        <v>144</v>
      </c>
      <c r="J52" s="24" t="s">
        <v>144</v>
      </c>
      <c r="K52" s="60" t="str">
        <f t="shared" ref="K52:K65" si="3">TRIM(IF(ISERROR(LEFT(I52,FIND(" ",I52))),"",LEFT(I52,FIND(" ",I52))))</f>
        <v>NA</v>
      </c>
      <c r="L52" s="53"/>
    </row>
    <row r="53" spans="1:12" ht="28.5" customHeight="1" thickBot="1" x14ac:dyDescent="0.3">
      <c r="A53" s="477"/>
      <c r="B53" s="462"/>
      <c r="C53" s="450"/>
      <c r="D53" s="451"/>
      <c r="E53" s="452"/>
      <c r="F53" s="452"/>
      <c r="G53" s="453"/>
      <c r="H53" s="452"/>
      <c r="I53" s="57" t="s">
        <v>145</v>
      </c>
      <c r="J53" s="24" t="s">
        <v>145</v>
      </c>
      <c r="K53" s="74" t="str">
        <f t="shared" si="3"/>
        <v>NA</v>
      </c>
      <c r="L53" s="53"/>
    </row>
    <row r="54" spans="1:12" ht="28.5" customHeight="1" thickBot="1" x14ac:dyDescent="0.3">
      <c r="A54" s="477"/>
      <c r="B54" s="462"/>
      <c r="C54" s="450"/>
      <c r="D54" s="451"/>
      <c r="E54" s="452"/>
      <c r="F54" s="452"/>
      <c r="G54" s="453"/>
      <c r="H54" s="452"/>
      <c r="I54" s="57" t="s">
        <v>77</v>
      </c>
      <c r="J54" s="13" t="s">
        <v>78</v>
      </c>
      <c r="K54" s="74" t="str">
        <f t="shared" si="3"/>
        <v>Peter</v>
      </c>
      <c r="L54" s="53"/>
    </row>
    <row r="55" spans="1:12" ht="28.5" customHeight="1" thickBot="1" x14ac:dyDescent="0.3">
      <c r="A55" s="477"/>
      <c r="B55" s="462"/>
      <c r="C55" s="450"/>
      <c r="D55" s="451"/>
      <c r="E55" s="452"/>
      <c r="F55" s="452"/>
      <c r="G55" s="453"/>
      <c r="H55" s="452"/>
      <c r="I55" s="57" t="s">
        <v>75</v>
      </c>
      <c r="J55" s="24" t="s">
        <v>76</v>
      </c>
      <c r="K55" s="74" t="str">
        <f t="shared" si="3"/>
        <v>Jonathan</v>
      </c>
      <c r="L55" s="53"/>
    </row>
    <row r="56" spans="1:12" ht="28.5" customHeight="1" thickBot="1" x14ac:dyDescent="0.3">
      <c r="A56" s="477"/>
      <c r="B56" s="462"/>
      <c r="C56" s="450"/>
      <c r="D56" s="451"/>
      <c r="E56" s="452"/>
      <c r="F56" s="454"/>
      <c r="G56" s="453"/>
      <c r="H56" s="452"/>
      <c r="I56" s="57" t="s">
        <v>128</v>
      </c>
      <c r="J56" s="24" t="s">
        <v>133</v>
      </c>
      <c r="K56" s="74" t="str">
        <f t="shared" si="3"/>
        <v>Catherine</v>
      </c>
      <c r="L56" s="53"/>
    </row>
    <row r="57" spans="1:12" ht="28.5" customHeight="1" thickBot="1" x14ac:dyDescent="0.3">
      <c r="A57" s="477"/>
      <c r="B57" s="462"/>
      <c r="C57" s="450"/>
      <c r="D57" s="451"/>
      <c r="E57" s="452"/>
      <c r="F57" s="455"/>
      <c r="G57" s="453"/>
      <c r="H57" s="452"/>
      <c r="I57" s="57" t="s">
        <v>58</v>
      </c>
      <c r="J57" s="24" t="s">
        <v>148</v>
      </c>
      <c r="K57" s="74" t="str">
        <f t="shared" si="3"/>
        <v>Beth</v>
      </c>
      <c r="L57" s="53"/>
    </row>
    <row r="58" spans="1:12" ht="28.5" customHeight="1" x14ac:dyDescent="0.25">
      <c r="A58" s="477"/>
      <c r="B58" s="462"/>
      <c r="C58" s="450"/>
      <c r="D58" s="451"/>
      <c r="E58" s="452"/>
      <c r="F58" s="452"/>
      <c r="G58" s="453"/>
      <c r="H58" s="452"/>
      <c r="I58" s="57"/>
      <c r="J58" s="24"/>
      <c r="K58" s="74" t="str">
        <f t="shared" si="3"/>
        <v/>
      </c>
      <c r="L58" s="53"/>
    </row>
    <row r="59" spans="1:12" ht="15.75" thickBot="1" x14ac:dyDescent="0.3">
      <c r="A59" s="477"/>
      <c r="B59" s="462"/>
      <c r="C59" s="450"/>
      <c r="D59" s="451"/>
      <c r="E59" s="452"/>
      <c r="F59" s="452"/>
      <c r="G59" s="453"/>
      <c r="H59" s="452"/>
      <c r="I59" s="89" t="s">
        <v>79</v>
      </c>
      <c r="J59" s="15" t="s">
        <v>83</v>
      </c>
      <c r="K59" s="74" t="str">
        <f t="shared" si="3"/>
        <v>Anisa</v>
      </c>
      <c r="L59" s="53"/>
    </row>
    <row r="60" spans="1:12" x14ac:dyDescent="0.25">
      <c r="A60" s="477"/>
      <c r="B60" s="462"/>
      <c r="C60" s="450"/>
      <c r="D60" s="451"/>
      <c r="E60" s="452"/>
      <c r="F60" s="452"/>
      <c r="G60" s="453"/>
      <c r="H60" s="452"/>
      <c r="I60" s="85"/>
      <c r="J60" s="464"/>
      <c r="K60" s="468" t="str">
        <f t="shared" si="3"/>
        <v/>
      </c>
      <c r="L60" s="53"/>
    </row>
    <row r="61" spans="1:12" x14ac:dyDescent="0.25">
      <c r="A61" s="477"/>
      <c r="B61" s="462"/>
      <c r="C61" s="450"/>
      <c r="D61" s="451"/>
      <c r="E61" s="452"/>
      <c r="F61" s="452"/>
      <c r="G61" s="453"/>
      <c r="H61" s="452"/>
      <c r="I61" s="85" t="s">
        <v>81</v>
      </c>
      <c r="J61" s="465" t="s">
        <v>149</v>
      </c>
      <c r="K61" s="469" t="str">
        <f t="shared" si="3"/>
        <v>Jennifer</v>
      </c>
      <c r="L61" s="53"/>
    </row>
    <row r="62" spans="1:12" x14ac:dyDescent="0.25">
      <c r="A62" s="477"/>
      <c r="B62" s="462"/>
      <c r="C62" s="450"/>
      <c r="D62" s="451"/>
      <c r="E62" s="452"/>
      <c r="F62" s="452"/>
      <c r="G62" s="453"/>
      <c r="H62" s="452"/>
      <c r="I62" s="85" t="s">
        <v>146</v>
      </c>
      <c r="J62" s="465" t="s">
        <v>150</v>
      </c>
      <c r="K62" s="469" t="str">
        <f t="shared" si="3"/>
        <v>Estefania</v>
      </c>
      <c r="L62" s="53"/>
    </row>
    <row r="63" spans="1:12" x14ac:dyDescent="0.25">
      <c r="A63" s="477"/>
      <c r="B63" s="462"/>
      <c r="C63" s="450"/>
      <c r="D63" s="451"/>
      <c r="E63" s="452"/>
      <c r="F63" s="452"/>
      <c r="G63" s="453"/>
      <c r="H63" s="452"/>
      <c r="I63" s="85" t="s">
        <v>147</v>
      </c>
      <c r="J63" s="465" t="s">
        <v>151</v>
      </c>
      <c r="K63" s="469" t="str">
        <f t="shared" si="3"/>
        <v>Juliette</v>
      </c>
      <c r="L63" s="53"/>
    </row>
    <row r="64" spans="1:12" x14ac:dyDescent="0.25">
      <c r="A64" s="477"/>
      <c r="B64" s="462"/>
      <c r="C64" s="450"/>
      <c r="D64" s="451"/>
      <c r="E64" s="452"/>
      <c r="F64" s="452"/>
      <c r="G64" s="453"/>
      <c r="H64" s="452"/>
      <c r="I64" s="85" t="s">
        <v>57</v>
      </c>
      <c r="J64" s="465" t="s">
        <v>60</v>
      </c>
      <c r="K64" s="469" t="str">
        <f t="shared" si="3"/>
        <v>Sarah</v>
      </c>
      <c r="L64" s="53"/>
    </row>
    <row r="65" spans="1:12" ht="15.75" thickBot="1" x14ac:dyDescent="0.3">
      <c r="A65" s="480"/>
      <c r="B65" s="463"/>
      <c r="C65" s="456"/>
      <c r="D65" s="457"/>
      <c r="E65" s="458"/>
      <c r="F65" s="458"/>
      <c r="G65" s="459"/>
      <c r="H65" s="458"/>
      <c r="I65" s="89" t="s">
        <v>131</v>
      </c>
      <c r="J65" s="466" t="s">
        <v>152</v>
      </c>
      <c r="K65" s="467" t="str">
        <f t="shared" si="3"/>
        <v>Richard</v>
      </c>
      <c r="L65" s="53"/>
    </row>
    <row r="66" spans="1:12" ht="15.75" thickBot="1" x14ac:dyDescent="0.3">
      <c r="A66" s="482"/>
      <c r="B66" s="50"/>
      <c r="C66" s="51"/>
      <c r="D66" s="51"/>
      <c r="E66" s="50"/>
      <c r="F66" s="51"/>
      <c r="G66" s="51"/>
      <c r="H66" s="51"/>
      <c r="I66" s="49"/>
      <c r="J66" s="51"/>
      <c r="K66" s="50"/>
      <c r="L66" s="54"/>
    </row>
    <row r="67" spans="1:12" ht="15" customHeight="1" x14ac:dyDescent="0.25">
      <c r="A67" s="476" t="s">
        <v>216</v>
      </c>
      <c r="B67" s="237" t="s">
        <v>34</v>
      </c>
      <c r="C67" s="237" t="s">
        <v>192</v>
      </c>
      <c r="D67" s="237"/>
      <c r="E67" s="237" t="s">
        <v>193</v>
      </c>
      <c r="F67" s="237"/>
      <c r="G67" s="237"/>
      <c r="H67" s="237"/>
      <c r="I67" s="81" t="s">
        <v>195</v>
      </c>
      <c r="J67" s="24" t="s">
        <v>196</v>
      </c>
      <c r="K67" s="60" t="str">
        <f t="shared" ref="K67:K77" si="4">TRIM(IF(ISERROR(LEFT(I67,FIND(" ",I67))),"",LEFT(I67,FIND(" ",I67))))</f>
        <v>Payroill</v>
      </c>
    </row>
    <row r="68" spans="1:12" x14ac:dyDescent="0.25">
      <c r="A68" s="477"/>
      <c r="B68" s="238"/>
      <c r="C68" s="238"/>
      <c r="D68" s="238"/>
      <c r="E68" s="238"/>
      <c r="F68" s="238"/>
      <c r="G68" s="238"/>
      <c r="H68" s="238"/>
      <c r="I68" s="82" t="s">
        <v>197</v>
      </c>
      <c r="J68" s="83" t="s">
        <v>198</v>
      </c>
      <c r="K68" s="84" t="str">
        <f t="shared" si="4"/>
        <v>Marlyn</v>
      </c>
    </row>
    <row r="69" spans="1:12" x14ac:dyDescent="0.25">
      <c r="A69" s="477"/>
      <c r="B69" s="238"/>
      <c r="C69" s="238"/>
      <c r="D69" s="238"/>
      <c r="E69" s="238"/>
      <c r="F69" s="238"/>
      <c r="G69" s="238"/>
      <c r="H69" s="238"/>
      <c r="I69" s="85" t="s">
        <v>199</v>
      </c>
      <c r="J69" s="86"/>
      <c r="K69" s="87" t="str">
        <f t="shared" si="4"/>
        <v>Tyelise</v>
      </c>
    </row>
    <row r="70" spans="1:12" x14ac:dyDescent="0.25">
      <c r="A70" s="477"/>
      <c r="B70" s="238"/>
      <c r="C70" s="238"/>
      <c r="D70" s="238"/>
      <c r="E70" s="238"/>
      <c r="F70" s="238"/>
      <c r="G70" s="238"/>
      <c r="H70" s="238"/>
      <c r="I70" s="85" t="s">
        <v>200</v>
      </c>
      <c r="J70" s="88" t="s">
        <v>201</v>
      </c>
      <c r="K70" s="87" t="str">
        <f t="shared" si="4"/>
        <v>Genesis</v>
      </c>
    </row>
    <row r="71" spans="1:12" ht="15.75" thickBot="1" x14ac:dyDescent="0.3">
      <c r="A71" s="477"/>
      <c r="B71" s="238"/>
      <c r="C71" s="238"/>
      <c r="D71" s="238"/>
      <c r="E71" s="238"/>
      <c r="F71" s="238"/>
      <c r="G71" s="238"/>
      <c r="H71" s="238"/>
      <c r="I71" s="89" t="s">
        <v>202</v>
      </c>
      <c r="J71" s="90" t="s">
        <v>203</v>
      </c>
      <c r="K71" s="91" t="str">
        <f t="shared" si="4"/>
        <v>Mardochee</v>
      </c>
    </row>
    <row r="72" spans="1:12" x14ac:dyDescent="0.25">
      <c r="A72" s="477"/>
      <c r="B72" s="238"/>
      <c r="C72" s="238"/>
      <c r="D72" s="238"/>
      <c r="E72" s="238"/>
      <c r="F72" s="238"/>
      <c r="G72" s="238"/>
      <c r="H72" s="238"/>
      <c r="I72" s="71" t="s">
        <v>58</v>
      </c>
      <c r="J72" s="15" t="s">
        <v>148</v>
      </c>
      <c r="K72" s="72" t="str">
        <f t="shared" si="4"/>
        <v>Beth</v>
      </c>
    </row>
    <row r="73" spans="1:12" x14ac:dyDescent="0.25">
      <c r="A73" s="477"/>
      <c r="B73" s="238"/>
      <c r="C73" s="238"/>
      <c r="D73" s="238"/>
      <c r="E73" s="238"/>
      <c r="F73" s="238"/>
      <c r="G73" s="238"/>
      <c r="H73" s="238"/>
      <c r="I73" s="71" t="s">
        <v>57</v>
      </c>
      <c r="J73" s="15" t="s">
        <v>86</v>
      </c>
      <c r="K73" s="72" t="str">
        <f t="shared" si="4"/>
        <v>Sarah</v>
      </c>
    </row>
    <row r="74" spans="1:12" x14ac:dyDescent="0.25">
      <c r="A74" s="477"/>
      <c r="B74" s="238"/>
      <c r="C74" s="238"/>
      <c r="D74" s="238"/>
      <c r="E74" s="238"/>
      <c r="F74" s="238"/>
      <c r="G74" s="238"/>
      <c r="H74" s="238"/>
      <c r="I74" s="71" t="s">
        <v>204</v>
      </c>
      <c r="J74" s="14" t="s">
        <v>205</v>
      </c>
      <c r="K74" s="92" t="str">
        <f t="shared" si="4"/>
        <v>Michael</v>
      </c>
    </row>
    <row r="75" spans="1:12" x14ac:dyDescent="0.25">
      <c r="A75" s="477"/>
      <c r="B75" s="238"/>
      <c r="C75" s="238"/>
      <c r="D75" s="238"/>
      <c r="E75" s="238"/>
      <c r="F75" s="238"/>
      <c r="G75" s="238"/>
      <c r="H75" s="238"/>
      <c r="I75" s="71" t="s">
        <v>222</v>
      </c>
      <c r="J75" s="93" t="s">
        <v>223</v>
      </c>
      <c r="K75" s="92" t="str">
        <f t="shared" si="4"/>
        <v>Joanna</v>
      </c>
    </row>
    <row r="76" spans="1:12" x14ac:dyDescent="0.25">
      <c r="A76" s="477"/>
      <c r="B76" s="238"/>
      <c r="C76" s="238"/>
      <c r="D76" s="238"/>
      <c r="E76" s="238"/>
      <c r="F76" s="238"/>
      <c r="G76" s="238"/>
      <c r="H76" s="238"/>
      <c r="I76" s="71" t="s">
        <v>80</v>
      </c>
      <c r="J76" s="93" t="s">
        <v>206</v>
      </c>
      <c r="K76" s="92" t="str">
        <f t="shared" si="4"/>
        <v>Michelle</v>
      </c>
    </row>
    <row r="77" spans="1:12" ht="15.75" thickBot="1" x14ac:dyDescent="0.3">
      <c r="A77" s="480"/>
      <c r="B77" s="239"/>
      <c r="C77" s="239"/>
      <c r="D77" s="239"/>
      <c r="E77" s="239"/>
      <c r="F77" s="239"/>
      <c r="G77" s="239"/>
      <c r="H77" s="239"/>
      <c r="I77" s="19" t="s">
        <v>131</v>
      </c>
      <c r="J77" s="94" t="s">
        <v>217</v>
      </c>
      <c r="K77" s="92" t="str">
        <f t="shared" si="4"/>
        <v>Richard</v>
      </c>
    </row>
    <row r="78" spans="1:12" s="27" customFormat="1" ht="7.5" customHeight="1" thickBot="1" x14ac:dyDescent="0.3">
      <c r="A78" s="483"/>
      <c r="B78" s="106"/>
      <c r="C78" s="107"/>
      <c r="D78" s="107"/>
      <c r="E78" s="106"/>
      <c r="F78" s="107"/>
      <c r="G78" s="107"/>
      <c r="H78" s="107"/>
      <c r="I78" s="107"/>
      <c r="J78" s="108"/>
      <c r="K78" s="109"/>
      <c r="L78" s="104"/>
    </row>
    <row r="79" spans="1:12" ht="27" customHeight="1" x14ac:dyDescent="0.25">
      <c r="A79" s="476"/>
      <c r="B79" s="237"/>
      <c r="C79" s="251"/>
      <c r="D79" s="102"/>
      <c r="E79" s="237"/>
      <c r="F79" s="237"/>
      <c r="G79" s="237"/>
      <c r="H79" s="237"/>
      <c r="I79" s="237"/>
      <c r="J79" s="303"/>
      <c r="K79" s="305"/>
      <c r="L79" s="53"/>
    </row>
    <row r="80" spans="1:12" ht="52.5" customHeight="1" thickBot="1" x14ac:dyDescent="0.3">
      <c r="A80" s="480"/>
      <c r="B80" s="239"/>
      <c r="C80" s="252"/>
      <c r="D80" s="3"/>
      <c r="E80" s="239"/>
      <c r="F80" s="239"/>
      <c r="G80" s="239"/>
      <c r="H80" s="239"/>
      <c r="I80" s="239"/>
      <c r="J80" s="304"/>
      <c r="K80" s="306"/>
      <c r="L80" s="53"/>
    </row>
    <row r="81" spans="1:12" ht="90.75" customHeight="1" thickBot="1" x14ac:dyDescent="0.3">
      <c r="A81" s="484">
        <v>18</v>
      </c>
      <c r="B81" s="9" t="s">
        <v>34</v>
      </c>
      <c r="C81" s="3" t="s">
        <v>38</v>
      </c>
      <c r="D81" s="3"/>
      <c r="E81" s="9" t="s">
        <v>22</v>
      </c>
      <c r="F81" s="3"/>
      <c r="G81" s="3"/>
      <c r="H81" s="3"/>
      <c r="I81" s="58"/>
      <c r="J81" s="20"/>
      <c r="K81" s="470" t="str">
        <f t="shared" ref="K81:K91" si="5">IF(ISERROR(LEFT(I81,FIND(" ",I81))),"",LEFT(I81,FIND(" ",I81)))</f>
        <v/>
      </c>
      <c r="L81" s="53"/>
    </row>
    <row r="82" spans="1:12" ht="81.75" customHeight="1" thickBot="1" x14ac:dyDescent="0.3">
      <c r="A82" s="484">
        <v>19</v>
      </c>
      <c r="B82" s="9" t="s">
        <v>34</v>
      </c>
      <c r="C82" s="3" t="s">
        <v>39</v>
      </c>
      <c r="D82" s="3"/>
      <c r="E82" s="9" t="s">
        <v>40</v>
      </c>
      <c r="F82" s="3"/>
      <c r="G82" s="3"/>
      <c r="H82" s="3"/>
      <c r="I82" s="58"/>
      <c r="J82" s="20"/>
      <c r="K82" s="181" t="str">
        <f t="shared" si="5"/>
        <v/>
      </c>
      <c r="L82" s="53"/>
    </row>
    <row r="83" spans="1:12" ht="90.75" customHeight="1" thickBot="1" x14ac:dyDescent="0.3">
      <c r="A83" s="484">
        <v>20</v>
      </c>
      <c r="B83" s="9" t="s">
        <v>34</v>
      </c>
      <c r="C83" s="3" t="s">
        <v>41</v>
      </c>
      <c r="D83" s="3" t="s">
        <v>42</v>
      </c>
      <c r="E83" s="9" t="s">
        <v>22</v>
      </c>
      <c r="F83" s="3"/>
      <c r="G83" s="3"/>
      <c r="H83" s="3"/>
      <c r="I83" s="58"/>
      <c r="J83" s="20"/>
      <c r="K83" s="67" t="str">
        <f t="shared" si="5"/>
        <v/>
      </c>
      <c r="L83" s="53"/>
    </row>
    <row r="84" spans="1:12" ht="47.25" customHeight="1" thickBot="1" x14ac:dyDescent="0.3">
      <c r="A84" s="485">
        <v>21</v>
      </c>
      <c r="B84" s="237" t="s">
        <v>34</v>
      </c>
      <c r="C84" s="251" t="s">
        <v>43</v>
      </c>
      <c r="D84" s="251" t="s">
        <v>19</v>
      </c>
      <c r="E84" s="237" t="s">
        <v>15</v>
      </c>
      <c r="F84" s="251"/>
      <c r="G84" s="251"/>
      <c r="H84" s="251"/>
      <c r="I84" s="251"/>
      <c r="J84" s="20"/>
      <c r="K84" s="67" t="str">
        <f t="shared" si="5"/>
        <v/>
      </c>
      <c r="L84" s="53"/>
    </row>
    <row r="85" spans="1:12" ht="15.75" thickBot="1" x14ac:dyDescent="0.3">
      <c r="A85" s="486"/>
      <c r="B85" s="239"/>
      <c r="C85" s="252"/>
      <c r="D85" s="252"/>
      <c r="E85" s="239"/>
      <c r="F85" s="252"/>
      <c r="G85" s="252"/>
      <c r="H85" s="252"/>
      <c r="I85" s="252"/>
      <c r="J85" s="20"/>
      <c r="K85" s="67" t="str">
        <f t="shared" si="5"/>
        <v/>
      </c>
      <c r="L85" s="53"/>
    </row>
    <row r="86" spans="1:12" ht="49.5" customHeight="1" thickBot="1" x14ac:dyDescent="0.3">
      <c r="A86" s="487">
        <v>22</v>
      </c>
      <c r="B86" s="237" t="s">
        <v>34</v>
      </c>
      <c r="C86" s="4" t="s">
        <v>28</v>
      </c>
      <c r="D86" s="4" t="s">
        <v>29</v>
      </c>
      <c r="E86" s="237" t="s">
        <v>22</v>
      </c>
      <c r="F86" s="4"/>
      <c r="G86" s="4"/>
      <c r="H86" s="4"/>
      <c r="I86" s="59"/>
      <c r="J86" s="20"/>
      <c r="K86" s="67" t="str">
        <f t="shared" si="5"/>
        <v/>
      </c>
      <c r="L86" s="53"/>
    </row>
    <row r="87" spans="1:12" ht="18" customHeight="1" thickBot="1" x14ac:dyDescent="0.3">
      <c r="A87" s="488"/>
      <c r="B87" s="238"/>
      <c r="C87" s="5" t="s">
        <v>44</v>
      </c>
      <c r="D87" s="4" t="s">
        <v>30</v>
      </c>
      <c r="E87" s="238"/>
      <c r="F87" s="4"/>
      <c r="G87" s="4"/>
      <c r="H87" s="4"/>
      <c r="I87" s="59"/>
      <c r="J87" s="20"/>
      <c r="K87" s="67" t="str">
        <f t="shared" si="5"/>
        <v/>
      </c>
      <c r="L87" s="53"/>
    </row>
    <row r="88" spans="1:12" ht="36" customHeight="1" thickBot="1" x14ac:dyDescent="0.3">
      <c r="A88" s="488"/>
      <c r="B88" s="238"/>
      <c r="C88" s="5" t="s">
        <v>45</v>
      </c>
      <c r="D88" s="4" t="s">
        <v>31</v>
      </c>
      <c r="E88" s="238"/>
      <c r="F88" s="4"/>
      <c r="G88" s="4"/>
      <c r="H88" s="4"/>
      <c r="I88" s="59"/>
      <c r="J88" s="20"/>
      <c r="K88" s="67" t="str">
        <f t="shared" si="5"/>
        <v/>
      </c>
      <c r="L88" s="53"/>
    </row>
    <row r="89" spans="1:12" ht="16.5" customHeight="1" thickBot="1" x14ac:dyDescent="0.3">
      <c r="A89" s="488"/>
      <c r="B89" s="238"/>
      <c r="C89" s="5" t="s">
        <v>46</v>
      </c>
      <c r="D89" s="4" t="s">
        <v>32</v>
      </c>
      <c r="E89" s="238"/>
      <c r="F89" s="4"/>
      <c r="G89" s="4"/>
      <c r="H89" s="4"/>
      <c r="I89" s="59"/>
      <c r="J89" s="20"/>
      <c r="K89" s="67" t="str">
        <f t="shared" si="5"/>
        <v/>
      </c>
      <c r="L89" s="53"/>
    </row>
    <row r="90" spans="1:12" ht="27" customHeight="1" thickBot="1" x14ac:dyDescent="0.3">
      <c r="A90" s="488"/>
      <c r="B90" s="238"/>
      <c r="C90" s="5" t="s">
        <v>47</v>
      </c>
      <c r="D90" s="8"/>
      <c r="E90" s="238"/>
      <c r="F90" s="8"/>
      <c r="G90" s="8"/>
      <c r="H90" s="8"/>
      <c r="I90" s="68"/>
      <c r="J90" s="20"/>
      <c r="K90" s="67" t="str">
        <f t="shared" si="5"/>
        <v/>
      </c>
      <c r="L90" s="53"/>
    </row>
    <row r="91" spans="1:12" ht="27.75" customHeight="1" thickBot="1" x14ac:dyDescent="0.3">
      <c r="A91" s="489"/>
      <c r="B91" s="239"/>
      <c r="C91" s="7" t="s">
        <v>48</v>
      </c>
      <c r="D91" s="6"/>
      <c r="E91" s="239"/>
      <c r="F91" s="6"/>
      <c r="G91" s="6"/>
      <c r="H91" s="6"/>
      <c r="I91" s="69"/>
      <c r="J91" s="20"/>
      <c r="K91" s="67" t="str">
        <f t="shared" si="5"/>
        <v/>
      </c>
      <c r="L91" s="53"/>
    </row>
    <row r="92" spans="1:12" ht="15" customHeight="1" x14ac:dyDescent="0.25">
      <c r="A92" s="476">
        <v>15</v>
      </c>
      <c r="B92" s="237" t="s">
        <v>34</v>
      </c>
      <c r="C92" s="237" t="s">
        <v>207</v>
      </c>
      <c r="D92" s="237"/>
      <c r="E92" s="237"/>
      <c r="F92" s="237"/>
      <c r="G92" s="237"/>
      <c r="H92" s="237"/>
      <c r="I92" s="95"/>
      <c r="J92" s="96"/>
      <c r="K92" s="97"/>
    </row>
    <row r="93" spans="1:12" x14ac:dyDescent="0.25">
      <c r="A93" s="477"/>
      <c r="B93" s="238"/>
      <c r="C93" s="238"/>
      <c r="D93" s="238"/>
      <c r="E93" s="238"/>
      <c r="F93" s="238"/>
      <c r="G93" s="238"/>
      <c r="H93" s="238"/>
      <c r="I93" s="56"/>
      <c r="J93" s="27"/>
      <c r="K93" s="98"/>
    </row>
    <row r="94" spans="1:12" x14ac:dyDescent="0.25">
      <c r="A94" s="477"/>
      <c r="B94" s="238"/>
      <c r="C94" s="238"/>
      <c r="D94" s="238"/>
      <c r="E94" s="238"/>
      <c r="F94" s="238"/>
      <c r="G94" s="238"/>
      <c r="H94" s="238"/>
      <c r="I94" s="56"/>
      <c r="J94" s="27"/>
      <c r="K94" s="98"/>
    </row>
    <row r="95" spans="1:12" x14ac:dyDescent="0.25">
      <c r="A95" s="477"/>
      <c r="B95" s="238"/>
      <c r="C95" s="238"/>
      <c r="D95" s="238"/>
      <c r="E95" s="238"/>
      <c r="F95" s="238"/>
      <c r="G95" s="238"/>
      <c r="H95" s="238"/>
      <c r="I95" s="56"/>
      <c r="J95" s="27"/>
      <c r="K95" s="98"/>
    </row>
    <row r="96" spans="1:12" x14ac:dyDescent="0.25">
      <c r="A96" s="477"/>
      <c r="B96" s="238"/>
      <c r="C96" s="238"/>
      <c r="D96" s="238"/>
      <c r="E96" s="238"/>
      <c r="F96" s="238"/>
      <c r="G96" s="238"/>
      <c r="H96" s="238"/>
      <c r="I96" s="56"/>
      <c r="J96" s="27"/>
      <c r="K96" s="98"/>
    </row>
    <row r="97" spans="1:11" x14ac:dyDescent="0.25">
      <c r="A97" s="477"/>
      <c r="B97" s="238"/>
      <c r="C97" s="238"/>
      <c r="D97" s="238"/>
      <c r="E97" s="238"/>
      <c r="F97" s="238"/>
      <c r="G97" s="238"/>
      <c r="H97" s="238"/>
      <c r="I97" s="56"/>
      <c r="J97" s="27"/>
      <c r="K97" s="98"/>
    </row>
    <row r="98" spans="1:11" x14ac:dyDescent="0.25">
      <c r="A98" s="477"/>
      <c r="B98" s="238"/>
      <c r="C98" s="238"/>
      <c r="D98" s="238"/>
      <c r="E98" s="238"/>
      <c r="F98" s="238"/>
      <c r="G98" s="238"/>
      <c r="H98" s="238"/>
      <c r="I98" s="56"/>
      <c r="J98" s="27"/>
      <c r="K98" s="98"/>
    </row>
    <row r="99" spans="1:11" x14ac:dyDescent="0.25">
      <c r="A99" s="477"/>
      <c r="B99" s="238"/>
      <c r="C99" s="238"/>
      <c r="D99" s="238"/>
      <c r="E99" s="238"/>
      <c r="F99" s="238"/>
      <c r="G99" s="238"/>
      <c r="H99" s="238"/>
      <c r="I99" s="56"/>
      <c r="J99" s="27"/>
      <c r="K99" s="98"/>
    </row>
    <row r="100" spans="1:11" x14ac:dyDescent="0.25">
      <c r="A100" s="477"/>
      <c r="B100" s="238"/>
      <c r="C100" s="238"/>
      <c r="D100" s="238"/>
      <c r="E100" s="238"/>
      <c r="F100" s="238"/>
      <c r="G100" s="238"/>
      <c r="H100" s="238"/>
      <c r="I100" s="56"/>
      <c r="J100" s="27"/>
      <c r="K100" s="98"/>
    </row>
    <row r="101" spans="1:11" x14ac:dyDescent="0.25">
      <c r="A101" s="477"/>
      <c r="B101" s="238"/>
      <c r="C101" s="238"/>
      <c r="D101" s="238"/>
      <c r="E101" s="238"/>
      <c r="F101" s="238"/>
      <c r="G101" s="238"/>
      <c r="H101" s="238"/>
      <c r="I101" s="56"/>
      <c r="J101" s="27"/>
      <c r="K101" s="98"/>
    </row>
    <row r="102" spans="1:11" ht="15.75" thickBot="1" x14ac:dyDescent="0.3">
      <c r="A102" s="480"/>
      <c r="B102" s="239"/>
      <c r="C102" s="239"/>
      <c r="D102" s="239"/>
      <c r="E102" s="239"/>
      <c r="F102" s="239"/>
      <c r="G102" s="239"/>
      <c r="H102" s="239"/>
      <c r="I102" s="99"/>
      <c r="J102" s="100"/>
      <c r="K102" s="101"/>
    </row>
    <row r="103" spans="1:11" x14ac:dyDescent="0.25">
      <c r="A103" s="476" t="s">
        <v>226</v>
      </c>
      <c r="B103" s="237" t="s">
        <v>20</v>
      </c>
      <c r="C103" s="237" t="s">
        <v>227</v>
      </c>
      <c r="D103" s="237" t="s">
        <v>228</v>
      </c>
      <c r="E103" s="237" t="s">
        <v>229</v>
      </c>
      <c r="F103" s="237"/>
      <c r="G103" s="237"/>
      <c r="H103" s="237"/>
      <c r="I103" s="95"/>
      <c r="J103" s="96"/>
      <c r="K103" s="97"/>
    </row>
    <row r="104" spans="1:11" x14ac:dyDescent="0.25">
      <c r="A104" s="477"/>
      <c r="B104" s="238"/>
      <c r="C104" s="238"/>
      <c r="D104" s="238"/>
      <c r="E104" s="238"/>
      <c r="F104" s="238"/>
      <c r="G104" s="238"/>
      <c r="H104" s="238"/>
      <c r="I104" s="56"/>
      <c r="J104" s="27"/>
      <c r="K104" s="98"/>
    </row>
    <row r="105" spans="1:11" x14ac:dyDescent="0.25">
      <c r="A105" s="477"/>
      <c r="B105" s="238"/>
      <c r="C105" s="238"/>
      <c r="D105" s="238"/>
      <c r="E105" s="238"/>
      <c r="F105" s="238"/>
      <c r="G105" s="238"/>
      <c r="H105" s="238"/>
      <c r="I105" s="56"/>
      <c r="J105" s="27"/>
      <c r="K105" s="98"/>
    </row>
    <row r="106" spans="1:11" x14ac:dyDescent="0.25">
      <c r="A106" s="477"/>
      <c r="B106" s="238"/>
      <c r="C106" s="238"/>
      <c r="D106" s="238"/>
      <c r="E106" s="238"/>
      <c r="F106" s="238"/>
      <c r="G106" s="238"/>
      <c r="H106" s="238"/>
      <c r="I106" s="56"/>
      <c r="J106" s="27"/>
      <c r="K106" s="98"/>
    </row>
    <row r="107" spans="1:11" x14ac:dyDescent="0.25">
      <c r="A107" s="477"/>
      <c r="B107" s="238"/>
      <c r="C107" s="238"/>
      <c r="D107" s="238"/>
      <c r="E107" s="238"/>
      <c r="F107" s="238"/>
      <c r="G107" s="238"/>
      <c r="H107" s="238"/>
      <c r="I107" s="56"/>
      <c r="J107" s="27"/>
      <c r="K107" s="98"/>
    </row>
    <row r="108" spans="1:11" x14ac:dyDescent="0.25">
      <c r="A108" s="477"/>
      <c r="B108" s="238"/>
      <c r="C108" s="238"/>
      <c r="D108" s="238"/>
      <c r="E108" s="238"/>
      <c r="F108" s="238"/>
      <c r="G108" s="238"/>
      <c r="H108" s="238"/>
      <c r="I108" s="56"/>
      <c r="J108" s="27"/>
      <c r="K108" s="98"/>
    </row>
    <row r="109" spans="1:11" x14ac:dyDescent="0.25">
      <c r="A109" s="477"/>
      <c r="B109" s="238"/>
      <c r="C109" s="238"/>
      <c r="D109" s="238"/>
      <c r="E109" s="238"/>
      <c r="F109" s="238"/>
      <c r="G109" s="238"/>
      <c r="H109" s="238"/>
      <c r="I109" s="56"/>
      <c r="J109" s="27"/>
      <c r="K109" s="98"/>
    </row>
    <row r="110" spans="1:11" x14ac:dyDescent="0.25">
      <c r="A110" s="477"/>
      <c r="B110" s="238"/>
      <c r="C110" s="238"/>
      <c r="D110" s="238"/>
      <c r="E110" s="238"/>
      <c r="F110" s="238"/>
      <c r="G110" s="238"/>
      <c r="H110" s="238"/>
      <c r="I110" s="56"/>
      <c r="J110" s="27"/>
      <c r="K110" s="98"/>
    </row>
    <row r="111" spans="1:11" x14ac:dyDescent="0.25">
      <c r="A111" s="477"/>
      <c r="B111" s="238"/>
      <c r="C111" s="238"/>
      <c r="D111" s="238"/>
      <c r="E111" s="238"/>
      <c r="F111" s="238"/>
      <c r="G111" s="238"/>
      <c r="H111" s="238"/>
      <c r="I111" s="56"/>
      <c r="J111" s="27"/>
      <c r="K111" s="98"/>
    </row>
    <row r="112" spans="1:11" x14ac:dyDescent="0.25">
      <c r="A112" s="477"/>
      <c r="B112" s="238"/>
      <c r="C112" s="238"/>
      <c r="D112" s="238"/>
      <c r="E112" s="238"/>
      <c r="F112" s="238"/>
      <c r="G112" s="238"/>
      <c r="H112" s="238"/>
      <c r="I112" s="56"/>
      <c r="J112" s="27"/>
      <c r="K112" s="98"/>
    </row>
    <row r="113" spans="1:11" ht="15.75" thickBot="1" x14ac:dyDescent="0.3">
      <c r="A113" s="480"/>
      <c r="B113" s="239"/>
      <c r="C113" s="239"/>
      <c r="D113" s="239"/>
      <c r="E113" s="239"/>
      <c r="F113" s="239"/>
      <c r="G113" s="239"/>
      <c r="H113" s="239"/>
      <c r="I113" s="99"/>
      <c r="J113" s="100"/>
      <c r="K113" s="101"/>
    </row>
  </sheetData>
  <mergeCells count="151">
    <mergeCell ref="I84:I85"/>
    <mergeCell ref="F84:F85"/>
    <mergeCell ref="E92:E102"/>
    <mergeCell ref="F92:F102"/>
    <mergeCell ref="D92:D102"/>
    <mergeCell ref="C92:C102"/>
    <mergeCell ref="B92:B102"/>
    <mergeCell ref="A92:A102"/>
    <mergeCell ref="A103:A113"/>
    <mergeCell ref="B103:B113"/>
    <mergeCell ref="C103:C113"/>
    <mergeCell ref="D103:D113"/>
    <mergeCell ref="E103:E113"/>
    <mergeCell ref="F103:F113"/>
    <mergeCell ref="G103:G113"/>
    <mergeCell ref="H103:H113"/>
    <mergeCell ref="B44:B51"/>
    <mergeCell ref="A84:A85"/>
    <mergeCell ref="F52:F56"/>
    <mergeCell ref="A30:A31"/>
    <mergeCell ref="B30:B31"/>
    <mergeCell ref="C30:C31"/>
    <mergeCell ref="F44:F51"/>
    <mergeCell ref="A79:A80"/>
    <mergeCell ref="B79:B80"/>
    <mergeCell ref="A44:A51"/>
    <mergeCell ref="A32:A33"/>
    <mergeCell ref="C32:C33"/>
    <mergeCell ref="D32:D33"/>
    <mergeCell ref="B32:B33"/>
    <mergeCell ref="B52:B65"/>
    <mergeCell ref="E79:E80"/>
    <mergeCell ref="D44:D51"/>
    <mergeCell ref="D30:D31"/>
    <mergeCell ref="D40:D41"/>
    <mergeCell ref="A34:A41"/>
    <mergeCell ref="B34:B41"/>
    <mergeCell ref="C34:C41"/>
    <mergeCell ref="E35:E41"/>
    <mergeCell ref="F36:F41"/>
    <mergeCell ref="C14:C16"/>
    <mergeCell ref="A17:A27"/>
    <mergeCell ref="B17:B27"/>
    <mergeCell ref="C17:C27"/>
    <mergeCell ref="C4:C5"/>
    <mergeCell ref="C10:C13"/>
    <mergeCell ref="D17:D27"/>
    <mergeCell ref="C28:C29"/>
    <mergeCell ref="E86:E91"/>
    <mergeCell ref="D84:D85"/>
    <mergeCell ref="E84:E85"/>
    <mergeCell ref="A52:A65"/>
    <mergeCell ref="C52:C65"/>
    <mergeCell ref="D52:D65"/>
    <mergeCell ref="E52:E65"/>
    <mergeCell ref="A28:A29"/>
    <mergeCell ref="B28:B29"/>
    <mergeCell ref="B84:B85"/>
    <mergeCell ref="C84:C85"/>
    <mergeCell ref="C79:C80"/>
    <mergeCell ref="A86:A91"/>
    <mergeCell ref="B86:B91"/>
    <mergeCell ref="C44:C51"/>
    <mergeCell ref="E44:E51"/>
    <mergeCell ref="L32:L33"/>
    <mergeCell ref="J33:K33"/>
    <mergeCell ref="F79:F80"/>
    <mergeCell ref="I79:I80"/>
    <mergeCell ref="G79:G80"/>
    <mergeCell ref="J79:J80"/>
    <mergeCell ref="K79:K80"/>
    <mergeCell ref="J32:K32"/>
    <mergeCell ref="F57:F65"/>
    <mergeCell ref="H52:H65"/>
    <mergeCell ref="G52:G65"/>
    <mergeCell ref="G44:G51"/>
    <mergeCell ref="H44:H51"/>
    <mergeCell ref="L34:L35"/>
    <mergeCell ref="G36:G41"/>
    <mergeCell ref="N1:N3"/>
    <mergeCell ref="G30:G31"/>
    <mergeCell ref="I30:I31"/>
    <mergeCell ref="H30:H31"/>
    <mergeCell ref="A1:G1"/>
    <mergeCell ref="H1:I1"/>
    <mergeCell ref="H2:I3"/>
    <mergeCell ref="J2:J3"/>
    <mergeCell ref="H28:H29"/>
    <mergeCell ref="G28:G29"/>
    <mergeCell ref="I28:I29"/>
    <mergeCell ref="F28:F29"/>
    <mergeCell ref="H17:H27"/>
    <mergeCell ref="G17:G27"/>
    <mergeCell ref="E17:E27"/>
    <mergeCell ref="F30:F31"/>
    <mergeCell ref="L30:L31"/>
    <mergeCell ref="N4:N5"/>
    <mergeCell ref="F4:F5"/>
    <mergeCell ref="L20:L21"/>
    <mergeCell ref="J30:K31"/>
    <mergeCell ref="E30:E31"/>
    <mergeCell ref="A3:E3"/>
    <mergeCell ref="A2:E2"/>
    <mergeCell ref="C67:C77"/>
    <mergeCell ref="B67:B77"/>
    <mergeCell ref="A67:A77"/>
    <mergeCell ref="H79:H80"/>
    <mergeCell ref="G84:G85"/>
    <mergeCell ref="H84:H85"/>
    <mergeCell ref="G4:G5"/>
    <mergeCell ref="E14:E16"/>
    <mergeCell ref="H14:H16"/>
    <mergeCell ref="A10:A13"/>
    <mergeCell ref="B10:B13"/>
    <mergeCell ref="F10:F13"/>
    <mergeCell ref="H10:H13"/>
    <mergeCell ref="E10:E13"/>
    <mergeCell ref="F14:F16"/>
    <mergeCell ref="G14:G16"/>
    <mergeCell ref="G10:G13"/>
    <mergeCell ref="H4:H5"/>
    <mergeCell ref="E28:E29"/>
    <mergeCell ref="F17:F27"/>
    <mergeCell ref="H36:H41"/>
    <mergeCell ref="E32:E33"/>
    <mergeCell ref="A14:A16"/>
    <mergeCell ref="B14:B16"/>
    <mergeCell ref="G92:G102"/>
    <mergeCell ref="H92:H102"/>
    <mergeCell ref="H67:H77"/>
    <mergeCell ref="G67:G77"/>
    <mergeCell ref="F67:F77"/>
    <mergeCell ref="E67:E77"/>
    <mergeCell ref="D67:D77"/>
    <mergeCell ref="L14:L16"/>
    <mergeCell ref="O2:O5"/>
    <mergeCell ref="I4:I5"/>
    <mergeCell ref="M4:M5"/>
    <mergeCell ref="J28:K29"/>
    <mergeCell ref="J10:J13"/>
    <mergeCell ref="I10:I13"/>
    <mergeCell ref="K10:K13"/>
    <mergeCell ref="K14:K16"/>
    <mergeCell ref="I14:I16"/>
    <mergeCell ref="J14:J16"/>
    <mergeCell ref="L4:L5"/>
    <mergeCell ref="K4:K5"/>
    <mergeCell ref="J4:J5"/>
    <mergeCell ref="L28:L29"/>
    <mergeCell ref="L18:L19"/>
    <mergeCell ref="L36:L41"/>
  </mergeCells>
  <dataValidations disablePrompts="1" count="1">
    <dataValidation type="list" allowBlank="1" showInputMessage="1" showErrorMessage="1" sqref="J2">
      <formula1>FiscalMonth</formula1>
    </dataValidation>
  </dataValidations>
  <hyperlinks>
    <hyperlink ref="J8" r:id="rId1"/>
    <hyperlink ref="J9" r:id="rId2"/>
    <hyperlink ref="J44" r:id="rId3"/>
    <hyperlink ref="J45" r:id="rId4"/>
    <hyperlink ref="J46" r:id="rId5"/>
    <hyperlink ref="J47" r:id="rId6"/>
    <hyperlink ref="J22" r:id="rId7"/>
    <hyperlink ref="J27" r:id="rId8"/>
    <hyperlink ref="J23" r:id="rId9"/>
    <hyperlink ref="J24" r:id="rId10"/>
    <hyperlink ref="J25" r:id="rId11"/>
    <hyperlink ref="J26" r:id="rId12"/>
    <hyperlink ref="J19" r:id="rId13"/>
    <hyperlink ref="J20" r:id="rId14"/>
    <hyperlink ref="J21" r:id="rId15"/>
    <hyperlink ref="I30" r:id="rId16" display="Step 8- Monthly TS Goals File.docx"/>
    <hyperlink ref="I10" r:id="rId17"/>
    <hyperlink ref="J52" r:id="rId18"/>
    <hyperlink ref="J54" r:id="rId19"/>
    <hyperlink ref="J55" r:id="rId20"/>
    <hyperlink ref="J56" r:id="rId21"/>
    <hyperlink ref="J57" r:id="rId22"/>
    <hyperlink ref="J59" r:id="rId23"/>
    <hyperlink ref="J61" r:id="rId24"/>
    <hyperlink ref="J62" r:id="rId25"/>
    <hyperlink ref="J63" r:id="rId26"/>
    <hyperlink ref="J64" r:id="rId27"/>
    <hyperlink ref="J65" r:id="rId28"/>
    <hyperlink ref="I28" r:id="rId29"/>
    <hyperlink ref="I30:I31" r:id="rId30" display="Step 7- Monthly TS Goals File"/>
    <hyperlink ref="I28:I29" r:id="rId31" display="Store Adjustments File Manual"/>
    <hyperlink ref="I14:I16" r:id="rId32" display="FTP Upload Guide"/>
    <hyperlink ref="J32" r:id="rId33" display="Mmontalvo@Coach.com; Tjamurath@Coach.com; Msevaire@Coach.com; Gpared@Coach.com"/>
    <hyperlink ref="J33:K33" r:id="rId34" display="Bquin@Coach.com; Mfong@Coach.com"/>
    <hyperlink ref="J67" r:id="rId35"/>
    <hyperlink ref="J68" r:id="rId36"/>
    <hyperlink ref="J70" r:id="rId37"/>
    <hyperlink ref="J71" r:id="rId38"/>
    <hyperlink ref="J72" r:id="rId39"/>
    <hyperlink ref="J73" r:id="rId40"/>
    <hyperlink ref="J74" r:id="rId41"/>
    <hyperlink ref="J76" r:id="rId42"/>
    <hyperlink ref="I10:I13" r:id="rId43" display="Varicent Instruction Manual"/>
    <hyperlink ref="J77" r:id="rId44"/>
    <hyperlink ref="J75" r:id="rId45"/>
    <hyperlink ref="J7" r:id="rId46" display="hrogers@coach.com"/>
    <hyperlink ref="J6" r:id="rId47"/>
    <hyperlink ref="J34" r:id="rId48"/>
    <hyperlink ref="J35" r:id="rId49"/>
    <hyperlink ref="J36" r:id="rId50"/>
    <hyperlink ref="J37" r:id="rId51"/>
    <hyperlink ref="G35" r:id="rId52"/>
    <hyperlink ref="J38" r:id="rId53"/>
    <hyperlink ref="J48" r:id="rId54" display="SLiu2@coach.com"/>
    <hyperlink ref="J49" r:id="rId55" display="Bquin@coach.com"/>
  </hyperlinks>
  <pageMargins left="0.7" right="0.7" top="0.75" bottom="0.75" header="0.3" footer="0.3"/>
  <pageSetup paperSize="17" scale="61" fitToHeight="0" orientation="landscape" r:id="rId56"/>
  <headerFooter>
    <oddFooter>&amp;C&amp;Z&amp;F</oddFooter>
  </headerFooter>
  <rowBreaks count="1" manualBreakCount="1">
    <brk id="16" max="14" man="1"/>
  </rowBreaks>
  <drawing r:id="rId57"/>
  <legacyDrawing r:id="rId58"/>
  <controls>
    <mc:AlternateContent xmlns:mc="http://schemas.openxmlformats.org/markup-compatibility/2006">
      <mc:Choice Requires="x14">
        <control shapeId="1080" r:id="rId59" name="CheckBox5">
          <controlPr defaultSize="0" autoLine="0" r:id="rId60">
            <anchor moveWithCells="1">
              <from>
                <xdr:col>7</xdr:col>
                <xdr:colOff>47625</xdr:colOff>
                <xdr:row>31</xdr:row>
                <xdr:rowOff>0</xdr:rowOff>
              </from>
              <to>
                <xdr:col>7</xdr:col>
                <xdr:colOff>1085850</xdr:colOff>
                <xdr:row>33</xdr:row>
                <xdr:rowOff>581025</xdr:rowOff>
              </to>
            </anchor>
          </controlPr>
        </control>
      </mc:Choice>
      <mc:Fallback>
        <control shapeId="1080" r:id="rId59" name="CheckBox5"/>
      </mc:Fallback>
    </mc:AlternateContent>
    <mc:AlternateContent xmlns:mc="http://schemas.openxmlformats.org/markup-compatibility/2006">
      <mc:Choice Requires="x14">
        <control shapeId="1079" r:id="rId61" name="CheckBox4">
          <controlPr defaultSize="0" autoLine="0" r:id="rId62">
            <anchor moveWithCells="1">
              <from>
                <xdr:col>7</xdr:col>
                <xdr:colOff>47625</xdr:colOff>
                <xdr:row>29</xdr:row>
                <xdr:rowOff>19050</xdr:rowOff>
              </from>
              <to>
                <xdr:col>7</xdr:col>
                <xdr:colOff>1095375</xdr:colOff>
                <xdr:row>30</xdr:row>
                <xdr:rowOff>247650</xdr:rowOff>
              </to>
            </anchor>
          </controlPr>
        </control>
      </mc:Choice>
      <mc:Fallback>
        <control shapeId="1079" r:id="rId61" name="CheckBox4"/>
      </mc:Fallback>
    </mc:AlternateContent>
    <mc:AlternateContent xmlns:mc="http://schemas.openxmlformats.org/markup-compatibility/2006">
      <mc:Choice Requires="x14">
        <control shapeId="1078" r:id="rId63" name="CheckBox3">
          <controlPr defaultSize="0" autoLine="0" r:id="rId64">
            <anchor moveWithCells="1">
              <from>
                <xdr:col>7</xdr:col>
                <xdr:colOff>28575</xdr:colOff>
                <xdr:row>27</xdr:row>
                <xdr:rowOff>19050</xdr:rowOff>
              </from>
              <to>
                <xdr:col>7</xdr:col>
                <xdr:colOff>1076325</xdr:colOff>
                <xdr:row>28</xdr:row>
                <xdr:rowOff>581025</xdr:rowOff>
              </to>
            </anchor>
          </controlPr>
        </control>
      </mc:Choice>
      <mc:Fallback>
        <control shapeId="1078" r:id="rId63" name="CheckBox3"/>
      </mc:Fallback>
    </mc:AlternateContent>
    <mc:AlternateContent xmlns:mc="http://schemas.openxmlformats.org/markup-compatibility/2006">
      <mc:Choice Requires="x14">
        <control shapeId="1077" r:id="rId65" name="CheckBox2">
          <controlPr defaultSize="0" autoLine="0" r:id="rId66">
            <anchor moveWithCells="1">
              <from>
                <xdr:col>7</xdr:col>
                <xdr:colOff>47625</xdr:colOff>
                <xdr:row>13</xdr:row>
                <xdr:rowOff>19050</xdr:rowOff>
              </from>
              <to>
                <xdr:col>7</xdr:col>
                <xdr:colOff>1076325</xdr:colOff>
                <xdr:row>15</xdr:row>
                <xdr:rowOff>295275</xdr:rowOff>
              </to>
            </anchor>
          </controlPr>
        </control>
      </mc:Choice>
      <mc:Fallback>
        <control shapeId="1077" r:id="rId65" name="CheckBox2"/>
      </mc:Fallback>
    </mc:AlternateContent>
    <mc:AlternateContent xmlns:mc="http://schemas.openxmlformats.org/markup-compatibility/2006">
      <mc:Choice Requires="x14">
        <control shapeId="1076" r:id="rId67" name="CheckBox1">
          <controlPr defaultSize="0" autoLine="0" r:id="rId68">
            <anchor moveWithCells="1">
              <from>
                <xdr:col>7</xdr:col>
                <xdr:colOff>47625</xdr:colOff>
                <xdr:row>9</xdr:row>
                <xdr:rowOff>19050</xdr:rowOff>
              </from>
              <to>
                <xdr:col>7</xdr:col>
                <xdr:colOff>1076325</xdr:colOff>
                <xdr:row>12</xdr:row>
                <xdr:rowOff>342900</xdr:rowOff>
              </to>
            </anchor>
          </controlPr>
        </control>
      </mc:Choice>
      <mc:Fallback>
        <control shapeId="1076" r:id="rId67" name="CheckBox1"/>
      </mc:Fallback>
    </mc:AlternateContent>
    <mc:AlternateContent xmlns:mc="http://schemas.openxmlformats.org/markup-compatibility/2006">
      <mc:Choice Requires="x14">
        <control shapeId="1027" r:id="rId69" name="Step1">
          <controlPr defaultSize="0" autoLine="0" r:id="rId70">
            <anchor moveWithCells="1" sizeWithCells="1">
              <from>
                <xdr:col>7</xdr:col>
                <xdr:colOff>47625</xdr:colOff>
                <xdr:row>6</xdr:row>
                <xdr:rowOff>38100</xdr:rowOff>
              </from>
              <to>
                <xdr:col>7</xdr:col>
                <xdr:colOff>1085850</xdr:colOff>
                <xdr:row>6</xdr:row>
                <xdr:rowOff>1419225</xdr:rowOff>
              </to>
            </anchor>
          </controlPr>
        </control>
      </mc:Choice>
      <mc:Fallback>
        <control shapeId="1027" r:id="rId69" name="Step1"/>
      </mc:Fallback>
    </mc:AlternateContent>
    <mc:AlternateContent xmlns:mc="http://schemas.openxmlformats.org/markup-compatibility/2006">
      <mc:Choice Requires="x14">
        <control shapeId="1030" r:id="rId71" name="CheckBox21">
          <controlPr defaultSize="0" autoLine="0" r:id="rId72">
            <anchor moveWithCells="1">
              <from>
                <xdr:col>7</xdr:col>
                <xdr:colOff>47625</xdr:colOff>
                <xdr:row>7</xdr:row>
                <xdr:rowOff>19050</xdr:rowOff>
              </from>
              <to>
                <xdr:col>7</xdr:col>
                <xdr:colOff>1085850</xdr:colOff>
                <xdr:row>7</xdr:row>
                <xdr:rowOff>1209675</xdr:rowOff>
              </to>
            </anchor>
          </controlPr>
        </control>
      </mc:Choice>
      <mc:Fallback>
        <control shapeId="1030" r:id="rId71" name="CheckBox21"/>
      </mc:Fallback>
    </mc:AlternateContent>
    <mc:AlternateContent xmlns:mc="http://schemas.openxmlformats.org/markup-compatibility/2006">
      <mc:Choice Requires="x14">
        <control shapeId="1031" r:id="rId73" name="CheckBox22">
          <controlPr defaultSize="0" autoLine="0" r:id="rId74">
            <anchor moveWithCells="1">
              <from>
                <xdr:col>7</xdr:col>
                <xdr:colOff>47625</xdr:colOff>
                <xdr:row>8</xdr:row>
                <xdr:rowOff>19050</xdr:rowOff>
              </from>
              <to>
                <xdr:col>7</xdr:col>
                <xdr:colOff>1095375</xdr:colOff>
                <xdr:row>8</xdr:row>
                <xdr:rowOff>1114425</xdr:rowOff>
              </to>
            </anchor>
          </controlPr>
        </control>
      </mc:Choice>
      <mc:Fallback>
        <control shapeId="1031" r:id="rId73" name="CheckBox22"/>
      </mc:Fallback>
    </mc:AlternateContent>
    <mc:AlternateContent xmlns:mc="http://schemas.openxmlformats.org/markup-compatibility/2006">
      <mc:Choice Requires="x14">
        <control shapeId="1081" r:id="rId75" name="CheckBox6">
          <controlPr defaultSize="0" autoLine="0" autoPict="0" r:id="rId76">
            <anchor moveWithCells="1">
              <from>
                <xdr:col>7</xdr:col>
                <xdr:colOff>47625</xdr:colOff>
                <xdr:row>41</xdr:row>
                <xdr:rowOff>19050</xdr:rowOff>
              </from>
              <to>
                <xdr:col>7</xdr:col>
                <xdr:colOff>1095375</xdr:colOff>
                <xdr:row>41</xdr:row>
                <xdr:rowOff>457200</xdr:rowOff>
              </to>
            </anchor>
          </controlPr>
        </control>
      </mc:Choice>
      <mc:Fallback>
        <control shapeId="1081" r:id="rId75" name="CheckBox6"/>
      </mc:Fallback>
    </mc:AlternateContent>
    <mc:AlternateContent xmlns:mc="http://schemas.openxmlformats.org/markup-compatibility/2006">
      <mc:Choice Requires="x14">
        <control shapeId="1082" r:id="rId77" name="CheckBox7">
          <controlPr defaultSize="0" autoLine="0" autoPict="0" r:id="rId78">
            <anchor moveWithCells="1">
              <from>
                <xdr:col>7</xdr:col>
                <xdr:colOff>47625</xdr:colOff>
                <xdr:row>42</xdr:row>
                <xdr:rowOff>19050</xdr:rowOff>
              </from>
              <to>
                <xdr:col>7</xdr:col>
                <xdr:colOff>1076325</xdr:colOff>
                <xdr:row>42</xdr:row>
                <xdr:rowOff>419100</xdr:rowOff>
              </to>
            </anchor>
          </controlPr>
        </control>
      </mc:Choice>
      <mc:Fallback>
        <control shapeId="1082" r:id="rId77" name="CheckBox7"/>
      </mc:Fallback>
    </mc:AlternateContent>
    <mc:AlternateContent xmlns:mc="http://schemas.openxmlformats.org/markup-compatibility/2006">
      <mc:Choice Requires="x14">
        <control shapeId="1083" r:id="rId79" name="CheckBox8">
          <controlPr defaultSize="0" autoLine="0" r:id="rId80">
            <anchor moveWithCells="1">
              <from>
                <xdr:col>7</xdr:col>
                <xdr:colOff>47625</xdr:colOff>
                <xdr:row>43</xdr:row>
                <xdr:rowOff>19050</xdr:rowOff>
              </from>
              <to>
                <xdr:col>7</xdr:col>
                <xdr:colOff>1057275</xdr:colOff>
                <xdr:row>50</xdr:row>
                <xdr:rowOff>152400</xdr:rowOff>
              </to>
            </anchor>
          </controlPr>
        </control>
      </mc:Choice>
      <mc:Fallback>
        <control shapeId="1083" r:id="rId79" name="CheckBox8"/>
      </mc:Fallback>
    </mc:AlternateContent>
    <mc:AlternateContent xmlns:mc="http://schemas.openxmlformats.org/markup-compatibility/2006">
      <mc:Choice Requires="x14">
        <control shapeId="1084" r:id="rId81" name="CheckBox9">
          <controlPr defaultSize="0" autoLine="0" r:id="rId82">
            <anchor moveWithCells="1">
              <from>
                <xdr:col>7</xdr:col>
                <xdr:colOff>47625</xdr:colOff>
                <xdr:row>51</xdr:row>
                <xdr:rowOff>19050</xdr:rowOff>
              </from>
              <to>
                <xdr:col>7</xdr:col>
                <xdr:colOff>1038225</xdr:colOff>
                <xdr:row>64</xdr:row>
                <xdr:rowOff>152400</xdr:rowOff>
              </to>
            </anchor>
          </controlPr>
        </control>
      </mc:Choice>
      <mc:Fallback>
        <control shapeId="1084" r:id="rId81" name="CheckBox9"/>
      </mc:Fallback>
    </mc:AlternateContent>
    <mc:AlternateContent xmlns:mc="http://schemas.openxmlformats.org/markup-compatibility/2006">
      <mc:Choice Requires="x14">
        <control shapeId="1096" r:id="rId83" name="CheckBox10">
          <controlPr defaultSize="0" autoLine="0" r:id="rId84">
            <anchor moveWithCells="1" sizeWithCells="1">
              <from>
                <xdr:col>7</xdr:col>
                <xdr:colOff>47625</xdr:colOff>
                <xdr:row>5</xdr:row>
                <xdr:rowOff>38100</xdr:rowOff>
              </from>
              <to>
                <xdr:col>7</xdr:col>
                <xdr:colOff>1085850</xdr:colOff>
                <xdr:row>5</xdr:row>
                <xdr:rowOff>1381125</xdr:rowOff>
              </to>
            </anchor>
          </controlPr>
        </control>
      </mc:Choice>
      <mc:Fallback>
        <control shapeId="1096" r:id="rId83" name="CheckBox10"/>
      </mc:Fallback>
    </mc:AlternateContent>
    <mc:AlternateContent xmlns:mc="http://schemas.openxmlformats.org/markup-compatibility/2006">
      <mc:Choice Requires="x14">
        <control shapeId="1025" r:id="rId85" name="Button 1">
          <controlPr defaultSize="0" print="0" autoFill="0" autoPict="0" macro="[0]!Step1Macro">
            <anchor moveWithCells="1" sizeWithCells="1">
              <from>
                <xdr:col>5</xdr:col>
                <xdr:colOff>38100</xdr:colOff>
                <xdr:row>6</xdr:row>
                <xdr:rowOff>0</xdr:rowOff>
              </from>
              <to>
                <xdr:col>5</xdr:col>
                <xdr:colOff>609600</xdr:colOff>
                <xdr:row>6</xdr:row>
                <xdr:rowOff>1438275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86" name="Button 2">
          <controlPr defaultSize="0" print="0" autoFill="0" autoPict="0" macro="[0]!Step2Macro">
            <anchor moveWithCells="1" sizeWithCells="1">
              <from>
                <xdr:col>5</xdr:col>
                <xdr:colOff>38100</xdr:colOff>
                <xdr:row>7</xdr:row>
                <xdr:rowOff>9525</xdr:rowOff>
              </from>
              <to>
                <xdr:col>5</xdr:col>
                <xdr:colOff>609600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7" name="Button 4">
          <controlPr defaultSize="0" print="0" autoFill="0" autoPict="0" macro="[0]!Step3Macro">
            <anchor moveWithCells="1" sizeWithCells="1">
              <from>
                <xdr:col>5</xdr:col>
                <xdr:colOff>9525</xdr:colOff>
                <xdr:row>8</xdr:row>
                <xdr:rowOff>9525</xdr:rowOff>
              </from>
              <to>
                <xdr:col>5</xdr:col>
                <xdr:colOff>609600</xdr:colOff>
                <xdr:row>8</xdr:row>
                <xdr:rowOff>1133475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8" name="Button 8">
          <controlPr defaultSize="0" print="0" autoFill="0" autoPict="0" macro="[0]!Step9Macro">
            <anchor moveWithCells="1" sizeWithCells="1">
              <from>
                <xdr:col>5</xdr:col>
                <xdr:colOff>9525</xdr:colOff>
                <xdr:row>16</xdr:row>
                <xdr:rowOff>0</xdr:rowOff>
              </from>
              <to>
                <xdr:col>5</xdr:col>
                <xdr:colOff>628650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9" name="Button 11">
          <controlPr defaultSize="0" print="0" autoFill="0" autoPict="0" macro="[0]!GS1Macro">
            <anchor moveWithCells="1" sizeWithCells="1">
              <from>
                <xdr:col>5</xdr:col>
                <xdr:colOff>28575</xdr:colOff>
                <xdr:row>91</xdr:row>
                <xdr:rowOff>0</xdr:rowOff>
              </from>
              <to>
                <xdr:col>5</xdr:col>
                <xdr:colOff>619125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90" name="Button 12">
          <controlPr defaultSize="0" print="0" autoFill="0" autoPict="0" macro="[0]!StoreOpsStep22Macro">
            <anchor moveWithCells="1" sizeWithCells="1">
              <from>
                <xdr:col>9</xdr:col>
                <xdr:colOff>19050</xdr:colOff>
                <xdr:row>42</xdr:row>
                <xdr:rowOff>0</xdr:rowOff>
              </from>
              <to>
                <xdr:col>9</xdr:col>
                <xdr:colOff>1552575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91" name="Button 13">
          <controlPr defaultSize="0" print="0" autoFill="0" autoPict="0" macro="[0]!Step6">
            <anchor moveWithCells="1" sizeWithCells="1">
              <from>
                <xdr:col>5</xdr:col>
                <xdr:colOff>9525</xdr:colOff>
                <xdr:row>16</xdr:row>
                <xdr:rowOff>0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92" name="Button 16">
          <controlPr defaultSize="0" print="0" autoFill="0" autoPict="0" macro="[0]!Step_Seventeen">
            <anchor moveWithCells="1" sizeWithCells="1">
              <from>
                <xdr:col>5</xdr:col>
                <xdr:colOff>38100</xdr:colOff>
                <xdr:row>42</xdr:row>
                <xdr:rowOff>0</xdr:rowOff>
              </from>
              <to>
                <xdr:col>5</xdr:col>
                <xdr:colOff>619125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93" name="Button 17">
          <controlPr defaultSize="0" print="0" autoFill="0" autoPict="0" macro="[0]!Contest_Store_Ops">
            <anchor moveWithCells="1" sizeWithCells="1">
              <from>
                <xdr:col>9</xdr:col>
                <xdr:colOff>19050</xdr:colOff>
                <xdr:row>42</xdr:row>
                <xdr:rowOff>0</xdr:rowOff>
              </from>
              <to>
                <xdr:col>9</xdr:col>
                <xdr:colOff>1533525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94" name="Button 18">
          <controlPr defaultSize="0" print="0" autoFill="0" autoPict="0" macro="[0]!IR_Returns_Directions">
            <anchor moveWithCells="1" siz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628650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95" name="Button 23">
          <controlPr defaultSize="0" print="0" autoFill="0" autoPict="0" macro="[0]!Step_9c">
            <anchor moveWithCells="1" sizeWithCells="1">
              <from>
                <xdr:col>5</xdr:col>
                <xdr:colOff>19050</xdr:colOff>
                <xdr:row>16</xdr:row>
                <xdr:rowOff>0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96" name="Button 24">
          <controlPr defaultSize="0" print="0" autoFill="0" autoPict="0" macro="[0]!Award_File_Field_Email">
            <anchor moveWithCells="1" sizeWithCells="1">
              <from>
                <xdr:col>5</xdr:col>
                <xdr:colOff>28575</xdr:colOff>
                <xdr:row>91</xdr:row>
                <xdr:rowOff>0</xdr:rowOff>
              </from>
              <to>
                <xdr:col>5</xdr:col>
                <xdr:colOff>609600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97" name="Button 25">
          <controlPr defaultSize="0" print="0" autoFill="0" autoPict="0" macro="[0]!Individual_Incentive_Award_File">
            <anchor moveWithCells="1" sizeWithCells="1">
              <from>
                <xdr:col>5</xdr:col>
                <xdr:colOff>9525</xdr:colOff>
                <xdr:row>91</xdr:row>
                <xdr:rowOff>0</xdr:rowOff>
              </from>
              <to>
                <xdr:col>5</xdr:col>
                <xdr:colOff>628650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98" name="Button 26">
          <controlPr defaultSize="0" print="0" autoFill="0" autoPict="0" macro="[0]!Run_TS_Goals">
            <anchor moveWithCells="1" sizeWithCells="1">
              <from>
                <xdr:col>5</xdr:col>
                <xdr:colOff>19050</xdr:colOff>
                <xdr:row>16</xdr:row>
                <xdr:rowOff>0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99" name="Button 32">
          <controlPr defaultSize="0" print="0" autoFill="0" autoPict="0" macro="[0]!Step_7_Macro">
            <anchor moveWithCells="1" siz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628650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00" name="Button 36">
          <controlPr defaultSize="0" print="0" autoFill="0" autoPict="0" macro="[0]!Store_Adjustments_Process">
            <anchor moveWithCells="1" sizeWithCells="1">
              <from>
                <xdr:col>5</xdr:col>
                <xdr:colOff>28575</xdr:colOff>
                <xdr:row>16</xdr:row>
                <xdr:rowOff>0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101" name="Button 42">
          <controlPr defaultSize="0" print="0" autoFill="0" autoPict="0" macro="[0]!Store_Adjustments_Process">
            <anchor moveWithCells="1" sizeWithCells="1">
              <from>
                <xdr:col>5</xdr:col>
                <xdr:colOff>47625</xdr:colOff>
                <xdr:row>16</xdr:row>
                <xdr:rowOff>0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102" name="Button 44">
          <controlPr defaultSize="0" print="0" autoFill="0" autoPict="0" macro="[0]!Store_Adjustments_Process">
            <anchor moveWithCells="1" sizeWithCells="1">
              <from>
                <xdr:col>5</xdr:col>
                <xdr:colOff>28575</xdr:colOff>
                <xdr:row>27</xdr:row>
                <xdr:rowOff>38100</xdr:rowOff>
              </from>
              <to>
                <xdr:col>5</xdr:col>
                <xdr:colOff>609600</xdr:colOff>
                <xdr:row>28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03" name="Button 45">
          <controlPr defaultSize="0" print="0" autoFill="0" autoPict="0" macro="[0]!Run_TS_Goals">
            <anchor moveWithCells="1" sizeWithCells="1">
              <from>
                <xdr:col>5</xdr:col>
                <xdr:colOff>19050</xdr:colOff>
                <xdr:row>29</xdr:row>
                <xdr:rowOff>28575</xdr:rowOff>
              </from>
              <to>
                <xdr:col>5</xdr:col>
                <xdr:colOff>609600</xdr:colOff>
                <xdr:row>30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04" name="Button 46">
          <controlPr defaultSize="0" print="0" autoFill="0" autoPict="0" macro="[0]!E_Mail_Payroll_TS_Goals_Complete">
            <anchor moveWithCells="1" sizeWithCells="1">
              <from>
                <xdr:col>5</xdr:col>
                <xdr:colOff>19050</xdr:colOff>
                <xdr:row>31</xdr:row>
                <xdr:rowOff>0</xdr:rowOff>
              </from>
              <to>
                <xdr:col>5</xdr:col>
                <xdr:colOff>619125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105" name="Button 47">
          <controlPr defaultSize="0" print="0" autoFill="0" autoPict="0" macro="[0]!Award_File_Field_Email">
            <anchor moveWithCells="1" sizeWithCells="1">
              <from>
                <xdr:col>5</xdr:col>
                <xdr:colOff>47625</xdr:colOff>
                <xdr:row>51</xdr:row>
                <xdr:rowOff>9525</xdr:rowOff>
              </from>
              <to>
                <xdr:col>5</xdr:col>
                <xdr:colOff>609600</xdr:colOff>
                <xdr:row>55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06" name="Button 48">
          <controlPr defaultSize="0" print="0" autoFill="0" autoPict="0" macro="[0]!Individual_Incentive_Award_File">
            <anchor moveWithCells="1" sizeWithCells="1">
              <from>
                <xdr:col>5</xdr:col>
                <xdr:colOff>38100</xdr:colOff>
                <xdr:row>56</xdr:row>
                <xdr:rowOff>57150</xdr:rowOff>
              </from>
              <to>
                <xdr:col>5</xdr:col>
                <xdr:colOff>609600</xdr:colOff>
                <xdr:row>64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107" name="Button 49">
          <controlPr defaultSize="0" print="0" autoFill="0" autoPict="0" macro="[0]!Payroll_Email_TS_is_Finalized">
            <anchor moveWithCells="1" sizeWithCells="1">
              <from>
                <xdr:col>5</xdr:col>
                <xdr:colOff>9525</xdr:colOff>
                <xdr:row>66</xdr:row>
                <xdr:rowOff>19050</xdr:rowOff>
              </from>
              <to>
                <xdr:col>5</xdr:col>
                <xdr:colOff>609600</xdr:colOff>
                <xdr:row>76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108" name="Button 63">
          <controlPr defaultSize="0" print="0" autoFill="0" autoPict="0" macro="[0]!Step6">
            <anchor moveWithCells="1" sizeWithCells="1">
              <from>
                <xdr:col>5</xdr:col>
                <xdr:colOff>57150</xdr:colOff>
                <xdr:row>16</xdr:row>
                <xdr:rowOff>0</xdr:rowOff>
              </from>
              <to>
                <xdr:col>5</xdr:col>
                <xdr:colOff>600075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109" name="Button 64">
          <controlPr defaultSize="0" print="0" autoFill="0" autoPict="0" macro="[0]!GS1Macro">
            <anchor moveWithCells="1" sizeWithCells="1">
              <from>
                <xdr:col>5</xdr:col>
                <xdr:colOff>19050</xdr:colOff>
                <xdr:row>43</xdr:row>
                <xdr:rowOff>38100</xdr:rowOff>
              </from>
              <to>
                <xdr:col>5</xdr:col>
                <xdr:colOff>609600</xdr:colOff>
                <xdr:row>50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110" name="Button 66">
          <controlPr defaultSize="0" print="0" autoFill="0" autoPict="0" macro="[0]!Teamshare_Dash">
            <anchor moveWithCells="1" sizeWithCells="1">
              <from>
                <xdr:col>4</xdr:col>
                <xdr:colOff>1247775</xdr:colOff>
                <xdr:row>102</xdr:row>
                <xdr:rowOff>38100</xdr:rowOff>
              </from>
              <to>
                <xdr:col>6</xdr:col>
                <xdr:colOff>1114425</xdr:colOff>
                <xdr:row>112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111" name="Button 67">
          <controlPr defaultSize="0" print="0" autoFill="0" autoPict="0" macro="[0]!E_Mail_Payroll_TS_Goals_Complete">
            <anchor moveWithCells="1" siz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609600</xdr:colOff>
                <xdr:row>41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112" name="Button 69">
          <controlPr defaultSize="0" print="0" autoFill="0" autoPict="0" macro="[1]!MakeNewMonthsDirectories">
            <anchor moveWithCells="1" sizeWithCells="1">
              <from>
                <xdr:col>5</xdr:col>
                <xdr:colOff>19050</xdr:colOff>
                <xdr:row>5</xdr:row>
                <xdr:rowOff>28575</xdr:rowOff>
              </from>
              <to>
                <xdr:col>5</xdr:col>
                <xdr:colOff>609600</xdr:colOff>
                <xdr:row>5</xdr:row>
                <xdr:rowOff>1447800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113" name="Button 70">
          <controlPr defaultSize="0" print="0" autoFill="0" autoPict="0" macro="[1]!Step9Macro">
            <anchor moveWithCells="1" sizeWithCells="1">
              <from>
                <xdr:col>5</xdr:col>
                <xdr:colOff>9525</xdr:colOff>
                <xdr:row>33</xdr:row>
                <xdr:rowOff>28575</xdr:rowOff>
              </from>
              <to>
                <xdr:col>5</xdr:col>
                <xdr:colOff>628650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114" name="Button 71">
          <controlPr defaultSize="0" print="0" autoFill="0" autoPict="0" macro="[1]!Step_9c">
            <anchor moveWithCells="1" sizeWithCells="1">
              <from>
                <xdr:col>5</xdr:col>
                <xdr:colOff>19050</xdr:colOff>
                <xdr:row>35</xdr:row>
                <xdr:rowOff>19050</xdr:rowOff>
              </from>
              <to>
                <xdr:col>5</xdr:col>
                <xdr:colOff>619125</xdr:colOff>
                <xdr:row>40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Sheet2!$E$1:$E$11</xm:f>
          </x14:formula1>
          <xm:sqref>J1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5"/>
  <sheetViews>
    <sheetView topLeftCell="G1" workbookViewId="0">
      <selection activeCell="H44" sqref="H44"/>
    </sheetView>
  </sheetViews>
  <sheetFormatPr defaultRowHeight="15" x14ac:dyDescent="0.25"/>
  <cols>
    <col min="1" max="1" width="19.140625" bestFit="1" customWidth="1"/>
    <col min="2" max="2" width="10.85546875" bestFit="1" customWidth="1"/>
    <col min="8" max="8" width="85.42578125" bestFit="1" customWidth="1"/>
  </cols>
  <sheetData>
    <row r="1" spans="1:19" x14ac:dyDescent="0.25">
      <c r="A1" t="s">
        <v>93</v>
      </c>
      <c r="B1" t="s">
        <v>62</v>
      </c>
      <c r="C1" t="s">
        <v>104</v>
      </c>
      <c r="E1">
        <v>2016</v>
      </c>
      <c r="H1" t="s">
        <v>87</v>
      </c>
      <c r="I1" s="16">
        <f>'[2]TS Summ'!$G$17</f>
        <v>0.65300000000000002</v>
      </c>
      <c r="J1" t="s">
        <v>108</v>
      </c>
      <c r="L1">
        <v>1</v>
      </c>
      <c r="M1" t="s">
        <v>117</v>
      </c>
      <c r="O1">
        <v>1</v>
      </c>
      <c r="P1" t="s">
        <v>68</v>
      </c>
      <c r="S1" t="s">
        <v>166</v>
      </c>
    </row>
    <row r="2" spans="1:19" x14ac:dyDescent="0.25">
      <c r="A2" t="s">
        <v>94</v>
      </c>
      <c r="B2" t="s">
        <v>63</v>
      </c>
      <c r="C2" t="s">
        <v>93</v>
      </c>
      <c r="E2">
        <v>2017</v>
      </c>
      <c r="H2" t="s">
        <v>90</v>
      </c>
      <c r="I2" s="16">
        <f>'[2]TS Summ'!$G$11</f>
        <v>0.624</v>
      </c>
      <c r="J2" t="s">
        <v>109</v>
      </c>
      <c r="L2">
        <v>2</v>
      </c>
      <c r="M2" t="s">
        <v>118</v>
      </c>
      <c r="O2">
        <v>2</v>
      </c>
      <c r="P2" t="s">
        <v>69</v>
      </c>
    </row>
    <row r="3" spans="1:19" x14ac:dyDescent="0.25">
      <c r="A3" t="s">
        <v>95</v>
      </c>
      <c r="B3" t="s">
        <v>64</v>
      </c>
      <c r="C3" t="s">
        <v>94</v>
      </c>
      <c r="E3">
        <v>2018</v>
      </c>
      <c r="H3" t="s">
        <v>88</v>
      </c>
      <c r="I3" s="16">
        <f>'[2]TS Summ'!$D$17-1</f>
        <v>5.0999999999999934E-2</v>
      </c>
      <c r="J3" t="s">
        <v>109</v>
      </c>
      <c r="L3">
        <v>3</v>
      </c>
      <c r="M3" t="s">
        <v>119</v>
      </c>
      <c r="O3">
        <v>3</v>
      </c>
      <c r="P3" t="s">
        <v>70</v>
      </c>
    </row>
    <row r="4" spans="1:19" x14ac:dyDescent="0.25">
      <c r="A4" t="s">
        <v>96</v>
      </c>
      <c r="B4" t="s">
        <v>65</v>
      </c>
      <c r="C4" t="s">
        <v>95</v>
      </c>
      <c r="E4">
        <v>2019</v>
      </c>
      <c r="H4" t="s">
        <v>89</v>
      </c>
      <c r="I4" s="16">
        <f>'[2]TS Summ'!$D$11-1</f>
        <v>1.2000000000000011E-2</v>
      </c>
      <c r="J4" t="s">
        <v>110</v>
      </c>
      <c r="L4">
        <v>4</v>
      </c>
      <c r="M4" t="s">
        <v>120</v>
      </c>
      <c r="O4">
        <v>4</v>
      </c>
      <c r="P4" t="s">
        <v>71</v>
      </c>
    </row>
    <row r="5" spans="1:19" x14ac:dyDescent="0.25">
      <c r="A5" t="s">
        <v>97</v>
      </c>
      <c r="B5" t="s">
        <v>66</v>
      </c>
      <c r="C5" t="s">
        <v>96</v>
      </c>
      <c r="E5">
        <v>2020</v>
      </c>
      <c r="L5">
        <v>5</v>
      </c>
      <c r="M5" t="s">
        <v>121</v>
      </c>
      <c r="O5">
        <v>5</v>
      </c>
      <c r="P5" t="s">
        <v>72</v>
      </c>
    </row>
    <row r="6" spans="1:19" x14ac:dyDescent="0.25">
      <c r="A6" t="s">
        <v>98</v>
      </c>
      <c r="B6" t="s">
        <v>67</v>
      </c>
      <c r="C6" t="s">
        <v>97</v>
      </c>
      <c r="E6">
        <v>2021</v>
      </c>
      <c r="H6" t="str">
        <f>"'J:\Retail Finance\Varicent\Reporting\FY"&amp;B$14&amp;"\"&amp;B$15&amp;" Reports\[" &amp;B$17 &amp;" Award File.xls]TS Summ'!" &amp;J1</f>
        <v>'J:\Retail Finance\Varicent\Reporting\FY17\P02 Reports\[Aug Award File.xls]TS Summ'!$G$17</v>
      </c>
      <c r="L6">
        <v>6</v>
      </c>
      <c r="M6" t="s">
        <v>122</v>
      </c>
      <c r="O6">
        <v>6</v>
      </c>
      <c r="P6" t="s">
        <v>73</v>
      </c>
    </row>
    <row r="7" spans="1:19" x14ac:dyDescent="0.25">
      <c r="A7" t="s">
        <v>99</v>
      </c>
      <c r="B7" t="s">
        <v>68</v>
      </c>
      <c r="C7" t="s">
        <v>98</v>
      </c>
      <c r="E7">
        <v>2022</v>
      </c>
      <c r="H7" t="str">
        <f>"J:\Retail Finance\Varicent\Reporting\FY"&amp;B$14&amp;"\"&amp;B$15&amp;" Reports\[" &amp;B$17 &amp;" Award File.xls]TS Summ!" &amp;J2</f>
        <v>J:\Retail Finance\Varicent\Reporting\FY17\P02 Reports\[Aug Award File.xls]TS Summ!$G$11</v>
      </c>
      <c r="L7">
        <v>7</v>
      </c>
      <c r="M7" t="s">
        <v>123</v>
      </c>
      <c r="O7">
        <v>7</v>
      </c>
      <c r="P7" t="s">
        <v>62</v>
      </c>
    </row>
    <row r="8" spans="1:19" x14ac:dyDescent="0.25">
      <c r="A8" t="s">
        <v>100</v>
      </c>
      <c r="B8" t="s">
        <v>69</v>
      </c>
      <c r="C8" t="s">
        <v>99</v>
      </c>
      <c r="E8">
        <v>2023</v>
      </c>
      <c r="H8" t="str">
        <f>"J:\Retail Finance\Varicent\Reporting\FY"&amp;B$14&amp;"\"&amp;B$15&amp;" Reports\[" &amp;B$17 &amp;" Award File.xls]TS Summ!" &amp;J3</f>
        <v>J:\Retail Finance\Varicent\Reporting\FY17\P02 Reports\[Aug Award File.xls]TS Summ!$G$11</v>
      </c>
      <c r="O8">
        <v>8</v>
      </c>
      <c r="P8" t="s">
        <v>63</v>
      </c>
    </row>
    <row r="9" spans="1:19" x14ac:dyDescent="0.25">
      <c r="A9" t="s">
        <v>101</v>
      </c>
      <c r="B9" t="s">
        <v>70</v>
      </c>
      <c r="C9" t="s">
        <v>100</v>
      </c>
      <c r="E9">
        <v>2024</v>
      </c>
      <c r="H9" t="str">
        <f>"J:\Retail Finance\Varicent\Reporting\FY"&amp;B$14&amp;"\"&amp;B$15&amp;" Reports\[" &amp;B$17 &amp;" Award File.xls]TS Summ!" &amp;J4</f>
        <v>J:\Retail Finance\Varicent\Reporting\FY17\P02 Reports\[Aug Award File.xls]TS Summ!$D$11</v>
      </c>
      <c r="O9">
        <v>9</v>
      </c>
      <c r="P9" t="s">
        <v>64</v>
      </c>
    </row>
    <row r="10" spans="1:19" x14ac:dyDescent="0.25">
      <c r="A10" t="s">
        <v>102</v>
      </c>
      <c r="B10" t="s">
        <v>71</v>
      </c>
      <c r="C10" t="s">
        <v>101</v>
      </c>
      <c r="E10">
        <v>2025</v>
      </c>
      <c r="H10" t="str">
        <f>TEXT(H6,1)</f>
        <v>'J:\Retail Finance\Varicent\Reporting\FY17\P02 Reports\[Aug Award File.xls]TS Summ'!$G$17</v>
      </c>
      <c r="O10">
        <v>10</v>
      </c>
      <c r="P10" t="s">
        <v>65</v>
      </c>
    </row>
    <row r="11" spans="1:19" x14ac:dyDescent="0.25">
      <c r="A11" t="s">
        <v>103</v>
      </c>
      <c r="B11" t="s">
        <v>72</v>
      </c>
      <c r="C11" t="s">
        <v>102</v>
      </c>
      <c r="E11">
        <v>2026</v>
      </c>
      <c r="H11" t="s">
        <v>111</v>
      </c>
      <c r="O11">
        <v>11</v>
      </c>
      <c r="P11" t="s">
        <v>66</v>
      </c>
    </row>
    <row r="12" spans="1:19" x14ac:dyDescent="0.25">
      <c r="A12" t="s">
        <v>104</v>
      </c>
      <c r="B12" t="s">
        <v>73</v>
      </c>
      <c r="C12" t="s">
        <v>103</v>
      </c>
      <c r="H12" t="e">
        <f>INDEX(H6,5,1)</f>
        <v>#REF!</v>
      </c>
      <c r="O12">
        <v>12</v>
      </c>
      <c r="P12" t="s">
        <v>67</v>
      </c>
    </row>
    <row r="14" spans="1:19" x14ac:dyDescent="0.25">
      <c r="A14" t="s">
        <v>91</v>
      </c>
      <c r="B14" t="str">
        <f>RIGHT(Sheet1!J1,2)</f>
        <v>17</v>
      </c>
      <c r="H14" t="str">
        <f>"'J:\Retail Finance\[TestBook.xlsx]Sheet1'!D3"</f>
        <v>'J:\Retail Finance\[TestBook.xlsx]Sheet1'!D3</v>
      </c>
    </row>
    <row r="15" spans="1:19" x14ac:dyDescent="0.25">
      <c r="A15" t="s">
        <v>92</v>
      </c>
      <c r="B15" t="str">
        <f>Sheet1!J2</f>
        <v>P02</v>
      </c>
    </row>
    <row r="16" spans="1:19" x14ac:dyDescent="0.25">
      <c r="A16" t="s">
        <v>105</v>
      </c>
      <c r="B16" t="str">
        <f>Sheet1!K2</f>
        <v>August</v>
      </c>
    </row>
    <row r="17" spans="1:9" x14ac:dyDescent="0.25">
      <c r="A17" t="s">
        <v>106</v>
      </c>
      <c r="B17" t="str">
        <f>Sheet1!K3</f>
        <v>Aug</v>
      </c>
      <c r="H17" t="str">
        <f>"Sheet1!A6"</f>
        <v>Sheet1!A6</v>
      </c>
      <c r="I17" t="s">
        <v>111</v>
      </c>
    </row>
    <row r="18" spans="1:9" x14ac:dyDescent="0.25">
      <c r="A18" t="s">
        <v>116</v>
      </c>
      <c r="B18" t="str">
        <f ca="1">VLOOKUP(WEEKDAY(NOW()),Sheet2!L1:M7,2,FALSE)</f>
        <v>Tuesday</v>
      </c>
    </row>
    <row r="19" spans="1:9" x14ac:dyDescent="0.25">
      <c r="A19" t="s">
        <v>107</v>
      </c>
      <c r="H19" t="str">
        <f>"Sheet1!a1"</f>
        <v>Sheet1!a1</v>
      </c>
    </row>
    <row r="20" spans="1:9" x14ac:dyDescent="0.25">
      <c r="A20" t="s">
        <v>125</v>
      </c>
      <c r="B20">
        <f ca="1">DAY(TODAY())</f>
        <v>20</v>
      </c>
    </row>
    <row r="21" spans="1:9" x14ac:dyDescent="0.25">
      <c r="A21" t="s">
        <v>124</v>
      </c>
      <c r="B21" t="str">
        <f ca="1">VLOOKUP(MONTH(TODAY()),O1:P12,2,FALSE)</f>
        <v>September</v>
      </c>
    </row>
    <row r="22" spans="1:9" x14ac:dyDescent="0.25">
      <c r="B22" t="s">
        <v>115</v>
      </c>
    </row>
    <row r="23" spans="1:9" x14ac:dyDescent="0.25">
      <c r="B23" t="s">
        <v>115</v>
      </c>
    </row>
    <row r="24" spans="1:9" x14ac:dyDescent="0.25">
      <c r="B24" t="s">
        <v>115</v>
      </c>
      <c r="F24" t="s">
        <v>112</v>
      </c>
      <c r="H24" s="17">
        <f>INDEX('[2]TS Summ'!$G$17,1,1)</f>
        <v>0.65300000000000002</v>
      </c>
      <c r="I24" t="s">
        <v>113</v>
      </c>
    </row>
    <row r="25" spans="1:9" x14ac:dyDescent="0.25">
      <c r="B25" t="s">
        <v>115</v>
      </c>
      <c r="I25" t="s">
        <v>114</v>
      </c>
    </row>
    <row r="26" spans="1:9" x14ac:dyDescent="0.25">
      <c r="B26" t="s">
        <v>115</v>
      </c>
    </row>
    <row r="27" spans="1:9" x14ac:dyDescent="0.25">
      <c r="B27" t="s">
        <v>115</v>
      </c>
    </row>
    <row r="28" spans="1:9" x14ac:dyDescent="0.25">
      <c r="B28" t="s">
        <v>115</v>
      </c>
      <c r="H28" t="str">
        <f>INDEX(H9,1,1)</f>
        <v>J:\Retail Finance\Varicent\Reporting\FY17\P02 Reports\[Aug Award File.xls]TS Summ!$D$11</v>
      </c>
    </row>
    <row r="29" spans="1:9" x14ac:dyDescent="0.25">
      <c r="B29" t="s">
        <v>115</v>
      </c>
      <c r="H29" t="str">
        <f>INDEX(H10,1,1)</f>
        <v>'J:\Retail Finance\Varicent\Reporting\FY17\P02 Reports\[Aug Award File.xls]TS Summ'!$G$17</v>
      </c>
    </row>
    <row r="30" spans="1:9" x14ac:dyDescent="0.25">
      <c r="B30" t="s">
        <v>115</v>
      </c>
      <c r="H30" t="str">
        <f>INDEX(H11,1,1)</f>
        <v>J:\Retail Finance\Varicent\Reporting\FY16\P08 Reports\[Feb Award File.xls]TS Summ'!$G$17</v>
      </c>
    </row>
    <row r="31" spans="1:9" x14ac:dyDescent="0.25">
      <c r="B31" t="s">
        <v>115</v>
      </c>
    </row>
    <row r="32" spans="1:9" x14ac:dyDescent="0.25">
      <c r="B32" t="s">
        <v>115</v>
      </c>
    </row>
    <row r="33" spans="2:2" x14ac:dyDescent="0.25">
      <c r="B33" t="s">
        <v>115</v>
      </c>
    </row>
    <row r="34" spans="2:2" x14ac:dyDescent="0.25">
      <c r="B34" t="s">
        <v>115</v>
      </c>
    </row>
    <row r="35" spans="2:2" x14ac:dyDescent="0.25">
      <c r="B35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Q105"/>
  <sheetViews>
    <sheetView zoomScaleNormal="100" zoomScaleSheetLayoutView="85" workbookViewId="0">
      <pane ySplit="5" topLeftCell="A6" activePane="bottomLeft" state="frozen"/>
      <selection pane="bottomLeft" activeCell="G30" sqref="G30"/>
    </sheetView>
  </sheetViews>
  <sheetFormatPr defaultRowHeight="15" outlineLevelRow="1" outlineLevelCol="1" x14ac:dyDescent="0.25"/>
  <cols>
    <col min="1" max="1" width="14.28515625" style="42" customWidth="1"/>
    <col min="2" max="2" width="9" style="55" bestFit="1" customWidth="1"/>
    <col min="3" max="3" width="23.85546875" style="42" customWidth="1"/>
    <col min="4" max="4" width="24.5703125" style="42" customWidth="1"/>
    <col min="5" max="5" width="19" style="55" customWidth="1"/>
    <col min="6" max="6" width="9.5703125" style="42" customWidth="1"/>
    <col min="7" max="7" width="17" style="42" customWidth="1"/>
    <col min="8" max="8" width="16.85546875" style="42" customWidth="1"/>
    <col min="9" max="9" width="26.42578125" style="42" customWidth="1"/>
    <col min="10" max="10" width="29.42578125" style="42" customWidth="1"/>
    <col min="11" max="11" width="10.140625" style="44" customWidth="1"/>
    <col min="12" max="12" width="27.85546875" style="42" hidden="1" customWidth="1" outlineLevel="1"/>
    <col min="13" max="13" width="9.7109375" style="42" hidden="1" customWidth="1" outlineLevel="1"/>
    <col min="14" max="14" width="5.5703125" style="42" hidden="1" customWidth="1" outlineLevel="1"/>
    <col min="15" max="15" width="29.140625" style="42" hidden="1" customWidth="1" outlineLevel="1"/>
    <col min="16" max="16" width="15.140625" style="42" hidden="1" customWidth="1" outlineLevel="1"/>
    <col min="17" max="17" width="10.7109375" style="42" bestFit="1" customWidth="1" collapsed="1"/>
    <col min="18" max="16384" width="9.140625" style="42"/>
  </cols>
  <sheetData>
    <row r="1" spans="1:17" ht="20.25" customHeight="1" thickBot="1" x14ac:dyDescent="0.3">
      <c r="A1" s="350" t="s">
        <v>231</v>
      </c>
      <c r="B1" s="350"/>
      <c r="C1" s="350"/>
      <c r="D1" s="350"/>
      <c r="E1" s="350"/>
      <c r="F1" s="350"/>
      <c r="G1" s="350"/>
      <c r="H1" s="351" t="s">
        <v>61</v>
      </c>
      <c r="I1" s="352"/>
      <c r="J1" s="12">
        <v>2017</v>
      </c>
      <c r="K1" s="30" t="str">
        <f>RIGHT(J1,2)</f>
        <v>17</v>
      </c>
      <c r="L1" s="28" t="s">
        <v>156</v>
      </c>
      <c r="M1" s="28">
        <f>K1-1</f>
        <v>16</v>
      </c>
      <c r="N1" s="353"/>
      <c r="O1" s="37" t="s">
        <v>165</v>
      </c>
      <c r="P1" s="47" t="s">
        <v>173</v>
      </c>
      <c r="Q1" s="48">
        <v>42400</v>
      </c>
    </row>
    <row r="2" spans="1:17" ht="36.75" customHeight="1" thickBot="1" x14ac:dyDescent="0.3">
      <c r="A2" s="355" t="s">
        <v>182</v>
      </c>
      <c r="B2" s="356"/>
      <c r="C2" s="356"/>
      <c r="D2" s="356"/>
      <c r="E2" s="357"/>
      <c r="F2" s="41" t="s">
        <v>170</v>
      </c>
      <c r="G2" s="40">
        <v>42589</v>
      </c>
      <c r="H2" s="358" t="s">
        <v>74</v>
      </c>
      <c r="I2" s="359"/>
      <c r="J2" s="362" t="s">
        <v>95</v>
      </c>
      <c r="K2" s="30" t="str">
        <f>VLOOKUP(J2,[1]Sheet2!A:B,2,FALSE)</f>
        <v>September</v>
      </c>
      <c r="L2" s="28">
        <f>J1-1</f>
        <v>2016</v>
      </c>
      <c r="M2" s="28" t="s">
        <v>157</v>
      </c>
      <c r="N2" s="353"/>
      <c r="O2" s="38" t="s">
        <v>232</v>
      </c>
      <c r="P2" s="47" t="s">
        <v>174</v>
      </c>
      <c r="Q2" s="48">
        <v>42427</v>
      </c>
    </row>
    <row r="3" spans="1:17" ht="34.5" customHeight="1" thickBot="1" x14ac:dyDescent="0.3">
      <c r="A3" s="355" t="s">
        <v>49</v>
      </c>
      <c r="B3" s="356"/>
      <c r="C3" s="356"/>
      <c r="D3" s="356"/>
      <c r="E3" s="357"/>
      <c r="F3" s="39" t="s">
        <v>171</v>
      </c>
      <c r="G3" s="40">
        <v>42616</v>
      </c>
      <c r="H3" s="360"/>
      <c r="I3" s="361"/>
      <c r="J3" s="363"/>
      <c r="K3" s="30" t="str">
        <f>LEFT(VLOOKUP(J2,[1]Sheet2!A:B,2,FALSE),3)</f>
        <v>Sep</v>
      </c>
      <c r="L3" s="28" t="str">
        <f>VLOOKUP(J2,[1]Sheet2!A:C,3,FALSE)</f>
        <v>P02</v>
      </c>
      <c r="M3" s="29" t="str">
        <f>LEFT(VLOOKUP(L3,[1]Sheet2!A:B,2,FALSE),3)</f>
        <v>Aug</v>
      </c>
      <c r="N3" s="354"/>
      <c r="O3" s="118" t="s">
        <v>233</v>
      </c>
    </row>
    <row r="4" spans="1:17" ht="30" customHeight="1" x14ac:dyDescent="0.25">
      <c r="A4" s="115" t="s">
        <v>0</v>
      </c>
      <c r="B4" s="1" t="s">
        <v>2</v>
      </c>
      <c r="C4" s="370" t="s">
        <v>4</v>
      </c>
      <c r="D4" s="1" t="s">
        <v>5</v>
      </c>
      <c r="E4" s="1" t="s">
        <v>7</v>
      </c>
      <c r="F4" s="370" t="s">
        <v>50</v>
      </c>
      <c r="G4" s="372" t="s">
        <v>51</v>
      </c>
      <c r="H4" s="370" t="s">
        <v>52</v>
      </c>
      <c r="I4" s="370" t="s">
        <v>234</v>
      </c>
      <c r="J4" s="370" t="s">
        <v>54</v>
      </c>
      <c r="K4" s="370" t="s">
        <v>56</v>
      </c>
      <c r="L4" s="372" t="s">
        <v>136</v>
      </c>
      <c r="M4" s="246"/>
      <c r="N4" s="383"/>
      <c r="O4" s="385" t="s">
        <v>235</v>
      </c>
    </row>
    <row r="5" spans="1:17" s="27" customFormat="1" ht="15.75" customHeight="1" thickBot="1" x14ac:dyDescent="0.3">
      <c r="A5" s="116" t="s">
        <v>1</v>
      </c>
      <c r="B5" s="2" t="s">
        <v>3</v>
      </c>
      <c r="C5" s="371"/>
      <c r="D5" s="2" t="s">
        <v>6</v>
      </c>
      <c r="E5" s="2" t="s">
        <v>8</v>
      </c>
      <c r="F5" s="371"/>
      <c r="G5" s="371"/>
      <c r="H5" s="371"/>
      <c r="I5" s="371"/>
      <c r="J5" s="371"/>
      <c r="K5" s="371"/>
      <c r="L5" s="372"/>
      <c r="M5" s="247"/>
      <c r="N5" s="384"/>
      <c r="O5" s="386"/>
      <c r="P5" s="56"/>
    </row>
    <row r="7" spans="1:17" ht="114" hidden="1" customHeight="1" outlineLevel="1" thickBot="1" x14ac:dyDescent="0.3">
      <c r="A7" s="121" t="s">
        <v>242</v>
      </c>
      <c r="B7" s="122" t="s">
        <v>9</v>
      </c>
      <c r="C7" s="123" t="s">
        <v>177</v>
      </c>
      <c r="D7" s="124" t="s">
        <v>243</v>
      </c>
      <c r="E7" s="125" t="s">
        <v>175</v>
      </c>
      <c r="F7" s="124"/>
      <c r="G7" s="124" t="s">
        <v>53</v>
      </c>
      <c r="H7" s="124"/>
      <c r="I7" s="126" t="s">
        <v>55</v>
      </c>
      <c r="J7" s="127" t="s">
        <v>244</v>
      </c>
      <c r="K7" s="128" t="str">
        <f>TRIM(IF(ISERROR(LEFT(I7,FIND(" ",I7))),"",LEFT(I7,FIND(" ",I7))))</f>
        <v>Heidi</v>
      </c>
      <c r="L7" s="62"/>
      <c r="N7" s="43"/>
      <c r="O7" s="44"/>
    </row>
    <row r="8" spans="1:17" ht="171.75" hidden="1" customHeight="1" outlineLevel="1" thickBot="1" x14ac:dyDescent="0.3">
      <c r="A8" s="121" t="s">
        <v>245</v>
      </c>
      <c r="B8" s="122" t="s">
        <v>9</v>
      </c>
      <c r="C8" s="129" t="s">
        <v>178</v>
      </c>
      <c r="D8" s="124" t="s">
        <v>139</v>
      </c>
      <c r="E8" s="122" t="s">
        <v>176</v>
      </c>
      <c r="F8" s="130"/>
      <c r="G8" s="130" t="s">
        <v>246</v>
      </c>
      <c r="H8" s="130"/>
      <c r="I8" s="131" t="s">
        <v>247</v>
      </c>
      <c r="J8" s="127" t="s">
        <v>248</v>
      </c>
      <c r="K8" s="128" t="str">
        <f>TRIM(IF(ISERROR(LEFT(I8,FIND(" ",I8))),"",LEFT(I8,FIND(" ",I8))))</f>
        <v>Priscilla</v>
      </c>
      <c r="L8" s="62"/>
      <c r="N8" s="43"/>
      <c r="O8" s="44"/>
    </row>
    <row r="9" spans="1:17" ht="91.5" hidden="1" customHeight="1" outlineLevel="1" thickBot="1" x14ac:dyDescent="0.3">
      <c r="A9" s="121" t="s">
        <v>249</v>
      </c>
      <c r="B9" s="132" t="s">
        <v>9</v>
      </c>
      <c r="C9" s="133" t="s">
        <v>179</v>
      </c>
      <c r="D9" s="134" t="s">
        <v>10</v>
      </c>
      <c r="E9" s="135" t="s">
        <v>11</v>
      </c>
      <c r="F9" s="134"/>
      <c r="G9" s="134" t="s">
        <v>183</v>
      </c>
      <c r="H9" s="134"/>
      <c r="I9" s="136" t="s">
        <v>162</v>
      </c>
      <c r="J9" s="127" t="s">
        <v>163</v>
      </c>
      <c r="K9" s="128" t="str">
        <f>TRIM(IF(ISERROR(LEFT(I9,FIND(" ",I9))),"",LEFT(I9,FIND(" ",I9))))</f>
        <v>Betsy</v>
      </c>
      <c r="L9" s="63" t="s">
        <v>172</v>
      </c>
      <c r="N9" s="45"/>
    </row>
    <row r="10" spans="1:17" ht="27.75" hidden="1" customHeight="1" outlineLevel="1" x14ac:dyDescent="0.25">
      <c r="A10" s="364" t="s">
        <v>250</v>
      </c>
      <c r="B10" s="364" t="s">
        <v>9</v>
      </c>
      <c r="C10" s="367" t="s">
        <v>140</v>
      </c>
      <c r="D10" s="137" t="s">
        <v>12</v>
      </c>
      <c r="E10" s="364" t="s">
        <v>15</v>
      </c>
      <c r="F10" s="364"/>
      <c r="G10" s="364"/>
      <c r="H10" s="364"/>
      <c r="I10" s="373" t="s">
        <v>142</v>
      </c>
      <c r="J10" s="376"/>
      <c r="K10" s="379" t="str">
        <f>IF(ISERROR(LEFT(#REF!,FIND(" ",#REF!))),"",LEFT(#REF!,FIND(" ",#REF!)))</f>
        <v/>
      </c>
      <c r="L10" s="42" t="s">
        <v>251</v>
      </c>
    </row>
    <row r="11" spans="1:17" ht="42.75" hidden="1" customHeight="1" outlineLevel="1" x14ac:dyDescent="0.25">
      <c r="A11" s="365"/>
      <c r="B11" s="365"/>
      <c r="C11" s="368"/>
      <c r="D11" s="137" t="s">
        <v>13</v>
      </c>
      <c r="E11" s="365"/>
      <c r="F11" s="365"/>
      <c r="G11" s="365"/>
      <c r="H11" s="365"/>
      <c r="I11" s="374"/>
      <c r="J11" s="377"/>
      <c r="K11" s="380"/>
      <c r="L11" s="382" t="s">
        <v>252</v>
      </c>
      <c r="M11" s="382"/>
      <c r="N11" s="382"/>
      <c r="O11" s="382"/>
      <c r="P11" s="46"/>
    </row>
    <row r="12" spans="1:17" ht="38.25" hidden="1" customHeight="1" outlineLevel="1" x14ac:dyDescent="0.25">
      <c r="A12" s="365"/>
      <c r="B12" s="365"/>
      <c r="C12" s="368"/>
      <c r="D12" s="138" t="s">
        <v>14</v>
      </c>
      <c r="E12" s="365"/>
      <c r="F12" s="365"/>
      <c r="G12" s="365"/>
      <c r="H12" s="365"/>
      <c r="I12" s="374"/>
      <c r="J12" s="377"/>
      <c r="K12" s="380"/>
      <c r="N12" s="42" t="s">
        <v>253</v>
      </c>
    </row>
    <row r="13" spans="1:17" ht="36" hidden="1" customHeight="1" outlineLevel="1" thickBot="1" x14ac:dyDescent="0.3">
      <c r="A13" s="366"/>
      <c r="B13" s="366"/>
      <c r="C13" s="369"/>
      <c r="D13" s="124" t="s">
        <v>141</v>
      </c>
      <c r="E13" s="366"/>
      <c r="F13" s="366"/>
      <c r="G13" s="366"/>
      <c r="H13" s="366"/>
      <c r="I13" s="375"/>
      <c r="J13" s="378"/>
      <c r="K13" s="381"/>
    </row>
    <row r="14" spans="1:17" ht="39" hidden="1" customHeight="1" outlineLevel="1" x14ac:dyDescent="0.25">
      <c r="A14" s="364" t="s">
        <v>254</v>
      </c>
      <c r="B14" s="364" t="s">
        <v>9</v>
      </c>
      <c r="C14" s="367" t="s">
        <v>16</v>
      </c>
      <c r="D14" s="137" t="s">
        <v>17</v>
      </c>
      <c r="E14" s="364" t="s">
        <v>167</v>
      </c>
      <c r="F14" s="364"/>
      <c r="G14" s="364"/>
      <c r="H14" s="364"/>
      <c r="I14" s="364"/>
      <c r="J14" s="376"/>
      <c r="K14" s="379" t="str">
        <f>IF(ISERROR(LEFT(I14,FIND(" ",I14))),"",LEFT(I14,FIND(" ",I14)))</f>
        <v/>
      </c>
      <c r="L14" s="42" t="s">
        <v>255</v>
      </c>
    </row>
    <row r="15" spans="1:17" ht="24.75" hidden="1" customHeight="1" outlineLevel="1" x14ac:dyDescent="0.25">
      <c r="A15" s="365"/>
      <c r="B15" s="365"/>
      <c r="C15" s="368"/>
      <c r="D15" s="137" t="s">
        <v>18</v>
      </c>
      <c r="E15" s="365"/>
      <c r="F15" s="365"/>
      <c r="G15" s="365"/>
      <c r="H15" s="365"/>
      <c r="I15" s="365"/>
      <c r="J15" s="377"/>
      <c r="K15" s="380"/>
    </row>
    <row r="16" spans="1:17" ht="27" hidden="1" customHeight="1" outlineLevel="1" thickBot="1" x14ac:dyDescent="0.3">
      <c r="A16" s="366"/>
      <c r="B16" s="366"/>
      <c r="C16" s="369"/>
      <c r="D16" s="130" t="s">
        <v>19</v>
      </c>
      <c r="E16" s="366"/>
      <c r="F16" s="366"/>
      <c r="G16" s="366"/>
      <c r="H16" s="366"/>
      <c r="I16" s="366"/>
      <c r="J16" s="378"/>
      <c r="K16" s="381"/>
    </row>
    <row r="17" spans="1:12" ht="96.75" hidden="1" customHeight="1" outlineLevel="1" thickBot="1" x14ac:dyDescent="0.3">
      <c r="A17" s="364" t="s">
        <v>256</v>
      </c>
      <c r="B17" s="364" t="s">
        <v>20</v>
      </c>
      <c r="C17" s="391" t="s">
        <v>180</v>
      </c>
      <c r="D17" s="364" t="s">
        <v>21</v>
      </c>
      <c r="E17" s="394" t="s">
        <v>22</v>
      </c>
      <c r="F17" s="137"/>
      <c r="G17" s="364" t="s">
        <v>161</v>
      </c>
      <c r="H17" s="364"/>
      <c r="I17" s="139" t="s">
        <v>126</v>
      </c>
      <c r="J17" s="140" t="s">
        <v>126</v>
      </c>
      <c r="K17" s="136" t="str">
        <f t="shared" ref="K17:K27" si="0">TRIM(IF(ISERROR(LEFT(I17,FIND(" ",I17))),"",LEFT(I17,FIND(" ",I17))))</f>
        <v>NA</v>
      </c>
      <c r="L17" s="141" t="s">
        <v>257</v>
      </c>
    </row>
    <row r="18" spans="1:12" ht="36" hidden="1" customHeight="1" outlineLevel="1" thickBot="1" x14ac:dyDescent="0.3">
      <c r="A18" s="365"/>
      <c r="B18" s="365"/>
      <c r="C18" s="392"/>
      <c r="D18" s="365"/>
      <c r="E18" s="395"/>
      <c r="F18" s="137"/>
      <c r="G18" s="365"/>
      <c r="H18" s="365"/>
      <c r="I18" s="139" t="s">
        <v>127</v>
      </c>
      <c r="J18" s="140" t="s">
        <v>127</v>
      </c>
      <c r="K18" s="136" t="str">
        <f t="shared" si="0"/>
        <v>NA</v>
      </c>
      <c r="L18" s="387" t="s">
        <v>258</v>
      </c>
    </row>
    <row r="19" spans="1:12" ht="36" hidden="1" customHeight="1" outlineLevel="1" thickBot="1" x14ac:dyDescent="0.3">
      <c r="A19" s="365"/>
      <c r="B19" s="365"/>
      <c r="C19" s="392"/>
      <c r="D19" s="365"/>
      <c r="E19" s="395"/>
      <c r="F19" s="137"/>
      <c r="G19" s="365"/>
      <c r="H19" s="365"/>
      <c r="I19" s="139" t="s">
        <v>128</v>
      </c>
      <c r="J19" s="127" t="s">
        <v>133</v>
      </c>
      <c r="K19" s="136" t="str">
        <f t="shared" si="0"/>
        <v>Catherine</v>
      </c>
      <c r="L19" s="388"/>
    </row>
    <row r="20" spans="1:12" ht="36" hidden="1" customHeight="1" outlineLevel="1" thickBot="1" x14ac:dyDescent="0.3">
      <c r="A20" s="365"/>
      <c r="B20" s="365"/>
      <c r="C20" s="392"/>
      <c r="D20" s="365"/>
      <c r="E20" s="395"/>
      <c r="F20" s="137"/>
      <c r="G20" s="365"/>
      <c r="H20" s="365"/>
      <c r="I20" s="139" t="s">
        <v>129</v>
      </c>
      <c r="J20" s="127" t="s">
        <v>134</v>
      </c>
      <c r="K20" s="136" t="str">
        <f t="shared" si="0"/>
        <v>Rebecca</v>
      </c>
      <c r="L20" s="389" t="s">
        <v>259</v>
      </c>
    </row>
    <row r="21" spans="1:12" ht="36" hidden="1" customHeight="1" outlineLevel="1" thickBot="1" x14ac:dyDescent="0.3">
      <c r="A21" s="365"/>
      <c r="B21" s="365"/>
      <c r="C21" s="392"/>
      <c r="D21" s="365"/>
      <c r="E21" s="395"/>
      <c r="F21" s="137"/>
      <c r="G21" s="365"/>
      <c r="H21" s="365"/>
      <c r="I21" s="139" t="s">
        <v>130</v>
      </c>
      <c r="J21" s="127" t="s">
        <v>135</v>
      </c>
      <c r="K21" s="136" t="str">
        <f t="shared" si="0"/>
        <v>Tracey</v>
      </c>
      <c r="L21" s="390"/>
    </row>
    <row r="22" spans="1:12" ht="36" hidden="1" customHeight="1" outlineLevel="1" thickBot="1" x14ac:dyDescent="0.3">
      <c r="A22" s="365"/>
      <c r="B22" s="365"/>
      <c r="C22" s="392"/>
      <c r="D22" s="365"/>
      <c r="E22" s="395"/>
      <c r="F22" s="137"/>
      <c r="G22" s="365"/>
      <c r="H22" s="365"/>
      <c r="I22" s="142" t="s">
        <v>58</v>
      </c>
      <c r="J22" s="127" t="s">
        <v>59</v>
      </c>
      <c r="K22" s="143" t="str">
        <f t="shared" si="0"/>
        <v>Beth</v>
      </c>
      <c r="L22" s="144"/>
    </row>
    <row r="23" spans="1:12" ht="36" hidden="1" customHeight="1" outlineLevel="1" thickBot="1" x14ac:dyDescent="0.3">
      <c r="A23" s="365"/>
      <c r="B23" s="365"/>
      <c r="C23" s="392"/>
      <c r="D23" s="365"/>
      <c r="E23" s="395"/>
      <c r="F23" s="137"/>
      <c r="G23" s="365"/>
      <c r="H23" s="365"/>
      <c r="I23" s="142" t="s">
        <v>79</v>
      </c>
      <c r="J23" s="145" t="s">
        <v>83</v>
      </c>
      <c r="K23" s="143" t="str">
        <f t="shared" si="0"/>
        <v>Anisa</v>
      </c>
      <c r="L23" s="146"/>
    </row>
    <row r="24" spans="1:12" ht="36" hidden="1" customHeight="1" outlineLevel="1" thickBot="1" x14ac:dyDescent="0.3">
      <c r="A24" s="365"/>
      <c r="B24" s="365"/>
      <c r="C24" s="392"/>
      <c r="D24" s="365"/>
      <c r="E24" s="395"/>
      <c r="F24" s="137"/>
      <c r="G24" s="365"/>
      <c r="H24" s="365"/>
      <c r="I24" s="142" t="s">
        <v>80</v>
      </c>
      <c r="J24" s="147" t="s">
        <v>84</v>
      </c>
      <c r="K24" s="143" t="str">
        <f t="shared" si="0"/>
        <v>Michelle</v>
      </c>
      <c r="L24" s="146"/>
    </row>
    <row r="25" spans="1:12" ht="36" hidden="1" customHeight="1" outlineLevel="1" thickBot="1" x14ac:dyDescent="0.3">
      <c r="A25" s="365"/>
      <c r="B25" s="365"/>
      <c r="C25" s="392"/>
      <c r="D25" s="365"/>
      <c r="E25" s="395"/>
      <c r="F25" s="137"/>
      <c r="G25" s="365"/>
      <c r="H25" s="365"/>
      <c r="I25" s="142" t="s">
        <v>81</v>
      </c>
      <c r="J25" s="145" t="s">
        <v>85</v>
      </c>
      <c r="K25" s="143" t="str">
        <f t="shared" si="0"/>
        <v>Jennifer</v>
      </c>
      <c r="L25" s="146"/>
    </row>
    <row r="26" spans="1:12" ht="36" hidden="1" customHeight="1" outlineLevel="1" thickBot="1" x14ac:dyDescent="0.3">
      <c r="A26" s="365"/>
      <c r="B26" s="365"/>
      <c r="C26" s="392"/>
      <c r="D26" s="365"/>
      <c r="E26" s="395"/>
      <c r="F26" s="137"/>
      <c r="G26" s="365"/>
      <c r="H26" s="365"/>
      <c r="I26" s="142" t="s">
        <v>131</v>
      </c>
      <c r="J26" s="147" t="s">
        <v>132</v>
      </c>
      <c r="K26" s="143" t="str">
        <f t="shared" si="0"/>
        <v>Richard</v>
      </c>
      <c r="L26" s="146"/>
    </row>
    <row r="27" spans="1:12" ht="36" hidden="1" customHeight="1" outlineLevel="1" thickBot="1" x14ac:dyDescent="0.3">
      <c r="A27" s="365"/>
      <c r="B27" s="365"/>
      <c r="C27" s="392"/>
      <c r="D27" s="365"/>
      <c r="E27" s="395"/>
      <c r="F27" s="137"/>
      <c r="G27" s="365"/>
      <c r="H27" s="365"/>
      <c r="I27" s="148" t="s">
        <v>57</v>
      </c>
      <c r="J27" s="149" t="s">
        <v>60</v>
      </c>
      <c r="K27" s="143" t="str">
        <f t="shared" si="0"/>
        <v>Sarah</v>
      </c>
      <c r="L27" s="146"/>
    </row>
    <row r="28" spans="1:12" ht="28.5" hidden="1" customHeight="1" outlineLevel="1" thickBot="1" x14ac:dyDescent="0.3">
      <c r="A28" s="366"/>
      <c r="B28" s="366"/>
      <c r="C28" s="393"/>
      <c r="D28" s="150" t="s">
        <v>260</v>
      </c>
      <c r="E28" s="396"/>
      <c r="F28" s="130"/>
      <c r="G28" s="366"/>
      <c r="H28" s="130"/>
      <c r="I28" s="151"/>
      <c r="J28" s="147"/>
      <c r="K28" s="152"/>
      <c r="L28" s="153"/>
    </row>
    <row r="29" spans="1:12" collapsed="1" x14ac:dyDescent="0.25"/>
    <row r="36" spans="1:15" ht="15.75" thickBot="1" x14ac:dyDescent="0.3"/>
    <row r="37" spans="1:15" ht="72" customHeight="1" x14ac:dyDescent="0.25">
      <c r="A37" s="248" t="s">
        <v>277</v>
      </c>
      <c r="B37" s="237" t="s">
        <v>20</v>
      </c>
      <c r="C37" s="411" t="s">
        <v>278</v>
      </c>
      <c r="D37" s="163" t="s">
        <v>279</v>
      </c>
      <c r="E37" s="237" t="s">
        <v>280</v>
      </c>
      <c r="F37" s="4"/>
      <c r="G37" s="237"/>
      <c r="H37" s="237"/>
      <c r="I37" s="414"/>
      <c r="J37" s="415"/>
      <c r="K37" s="416"/>
      <c r="L37" s="52"/>
    </row>
    <row r="38" spans="1:15" ht="63" customHeight="1" x14ac:dyDescent="0.25">
      <c r="A38" s="249"/>
      <c r="B38" s="238"/>
      <c r="C38" s="412"/>
      <c r="D38" s="164" t="s">
        <v>281</v>
      </c>
      <c r="E38" s="238"/>
      <c r="F38" s="4"/>
      <c r="G38" s="238"/>
      <c r="H38" s="238"/>
      <c r="I38" s="417"/>
      <c r="J38" s="418"/>
      <c r="K38" s="419"/>
      <c r="L38" s="53"/>
    </row>
    <row r="39" spans="1:15" ht="63" customHeight="1" x14ac:dyDescent="0.25">
      <c r="A39" s="249"/>
      <c r="B39" s="238"/>
      <c r="C39" s="412"/>
      <c r="D39" s="406" t="s">
        <v>282</v>
      </c>
      <c r="E39" s="238"/>
      <c r="F39" s="4"/>
      <c r="G39" s="238"/>
      <c r="H39" s="238"/>
      <c r="I39" s="417"/>
      <c r="J39" s="418"/>
      <c r="K39" s="419"/>
      <c r="L39" s="53"/>
    </row>
    <row r="40" spans="1:15" ht="36.75" customHeight="1" thickBot="1" x14ac:dyDescent="0.3">
      <c r="A40" s="249"/>
      <c r="B40" s="239"/>
      <c r="C40" s="413"/>
      <c r="D40" s="407"/>
      <c r="E40" s="239"/>
      <c r="F40" s="3"/>
      <c r="G40" s="239"/>
      <c r="H40" s="239"/>
      <c r="I40" s="420"/>
      <c r="J40" s="421"/>
      <c r="K40" s="422"/>
      <c r="L40" s="54"/>
    </row>
    <row r="41" spans="1:15" ht="108" hidden="1" customHeight="1" outlineLevel="1" x14ac:dyDescent="0.25">
      <c r="A41" s="329" t="s">
        <v>283</v>
      </c>
      <c r="B41" s="237" t="s">
        <v>20</v>
      </c>
      <c r="C41" s="408" t="s">
        <v>138</v>
      </c>
      <c r="D41" s="4" t="s">
        <v>25</v>
      </c>
      <c r="E41" s="237" t="s">
        <v>168</v>
      </c>
      <c r="F41" s="237"/>
      <c r="G41" s="237"/>
      <c r="H41" s="237"/>
      <c r="I41" s="397" t="s">
        <v>169</v>
      </c>
      <c r="J41" s="400"/>
      <c r="K41" s="401"/>
      <c r="L41" s="270" t="s">
        <v>284</v>
      </c>
    </row>
    <row r="42" spans="1:15" ht="126" hidden="1" customHeight="1" outlineLevel="1" x14ac:dyDescent="0.25">
      <c r="A42" s="330"/>
      <c r="B42" s="238"/>
      <c r="C42" s="409"/>
      <c r="D42" s="238" t="s">
        <v>285</v>
      </c>
      <c r="E42" s="238"/>
      <c r="F42" s="238"/>
      <c r="G42" s="238"/>
      <c r="H42" s="238"/>
      <c r="I42" s="398"/>
      <c r="J42" s="402"/>
      <c r="K42" s="403"/>
      <c r="L42" s="271"/>
      <c r="M42" s="45"/>
      <c r="N42" s="45"/>
      <c r="O42" s="45"/>
    </row>
    <row r="43" spans="1:15" ht="15.75" hidden="1" outlineLevel="1" thickBot="1" x14ac:dyDescent="0.3">
      <c r="A43" s="330"/>
      <c r="B43" s="239"/>
      <c r="C43" s="410"/>
      <c r="D43" s="239"/>
      <c r="E43" s="239"/>
      <c r="F43" s="239"/>
      <c r="G43" s="239"/>
      <c r="H43" s="239"/>
      <c r="I43" s="399"/>
      <c r="J43" s="404"/>
      <c r="K43" s="405"/>
      <c r="L43" s="272"/>
    </row>
    <row r="44" spans="1:15" ht="48" hidden="1" customHeight="1" outlineLevel="1" x14ac:dyDescent="0.25">
      <c r="A44" s="248" t="s">
        <v>286</v>
      </c>
      <c r="B44" s="237" t="s">
        <v>20</v>
      </c>
      <c r="C44" s="251" t="s">
        <v>23</v>
      </c>
      <c r="D44" s="430" t="s">
        <v>159</v>
      </c>
      <c r="E44" s="237" t="s">
        <v>24</v>
      </c>
      <c r="F44" s="4"/>
      <c r="G44" s="237"/>
      <c r="H44" s="237"/>
      <c r="I44" s="423" t="s">
        <v>287</v>
      </c>
      <c r="J44" s="425"/>
      <c r="K44" s="426"/>
      <c r="L44" s="52"/>
      <c r="M44" s="42" t="s">
        <v>288</v>
      </c>
    </row>
    <row r="45" spans="1:15" ht="37.5" hidden="1" customHeight="1" outlineLevel="1" thickBot="1" x14ac:dyDescent="0.3">
      <c r="A45" s="249"/>
      <c r="B45" s="239"/>
      <c r="C45" s="252"/>
      <c r="D45" s="431"/>
      <c r="E45" s="239"/>
      <c r="F45" s="3"/>
      <c r="G45" s="239"/>
      <c r="H45" s="239"/>
      <c r="I45" s="424"/>
      <c r="J45" s="427"/>
      <c r="K45" s="428"/>
      <c r="L45" s="54"/>
    </row>
    <row r="46" spans="1:15" ht="44.25" customHeight="1" collapsed="1" x14ac:dyDescent="0.25">
      <c r="A46" s="248" t="s">
        <v>289</v>
      </c>
      <c r="B46" s="237" t="s">
        <v>20</v>
      </c>
      <c r="C46" s="251" t="s">
        <v>290</v>
      </c>
      <c r="D46" s="165" t="s">
        <v>291</v>
      </c>
      <c r="E46" s="237" t="s">
        <v>22</v>
      </c>
      <c r="F46" s="237" t="s">
        <v>292</v>
      </c>
      <c r="G46" s="237" t="s">
        <v>293</v>
      </c>
      <c r="H46" s="237"/>
      <c r="I46" s="326"/>
      <c r="J46" s="414"/>
      <c r="K46" s="416"/>
      <c r="L46" s="270" t="s">
        <v>294</v>
      </c>
    </row>
    <row r="47" spans="1:15" ht="60.75" customHeight="1" x14ac:dyDescent="0.25">
      <c r="A47" s="249"/>
      <c r="B47" s="238"/>
      <c r="C47" s="429"/>
      <c r="D47" s="238" t="s">
        <v>295</v>
      </c>
      <c r="E47" s="238"/>
      <c r="F47" s="238"/>
      <c r="G47" s="238"/>
      <c r="H47" s="238"/>
      <c r="I47" s="327"/>
      <c r="J47" s="417"/>
      <c r="K47" s="419"/>
      <c r="L47" s="271"/>
    </row>
    <row r="48" spans="1:15" ht="15.75" thickBot="1" x14ac:dyDescent="0.3">
      <c r="A48" s="250"/>
      <c r="B48" s="239"/>
      <c r="C48" s="252"/>
      <c r="D48" s="239"/>
      <c r="E48" s="239"/>
      <c r="F48" s="239"/>
      <c r="G48" s="239"/>
      <c r="H48" s="239"/>
      <c r="I48" s="328"/>
      <c r="J48" s="420"/>
      <c r="K48" s="422"/>
      <c r="L48" s="272"/>
    </row>
    <row r="49" spans="1:12" ht="45.75" hidden="1" customHeight="1" outlineLevel="1" thickBot="1" x14ac:dyDescent="0.3">
      <c r="A49" s="10">
        <v>12</v>
      </c>
      <c r="B49" s="61" t="s">
        <v>20</v>
      </c>
      <c r="C49" s="3" t="s">
        <v>26</v>
      </c>
      <c r="D49" s="3" t="s">
        <v>27</v>
      </c>
      <c r="E49" s="61" t="s">
        <v>22</v>
      </c>
      <c r="F49" s="3"/>
      <c r="G49" s="3"/>
      <c r="H49" s="3"/>
      <c r="I49" s="3"/>
      <c r="J49" s="166"/>
      <c r="K49" s="103" t="str">
        <f t="shared" ref="K49:K63" si="1">IF(ISERROR(LEFT(I49,FIND(" ",I49))),"",LEFT(I49,FIND(" ",I49)))</f>
        <v/>
      </c>
      <c r="L49" s="64"/>
    </row>
    <row r="50" spans="1:12" ht="117.75" hidden="1" customHeight="1" outlineLevel="1" thickBot="1" x14ac:dyDescent="0.3">
      <c r="A50" s="112">
        <v>13</v>
      </c>
      <c r="B50" s="61" t="s">
        <v>20</v>
      </c>
      <c r="C50" s="3" t="s">
        <v>296</v>
      </c>
      <c r="D50" s="3" t="s">
        <v>297</v>
      </c>
      <c r="E50" s="61" t="s">
        <v>22</v>
      </c>
      <c r="F50" s="3"/>
      <c r="G50" s="3"/>
      <c r="H50" s="3"/>
      <c r="I50" s="3"/>
      <c r="J50" s="166"/>
      <c r="K50" s="67" t="str">
        <f t="shared" si="1"/>
        <v/>
      </c>
      <c r="L50" s="167"/>
    </row>
    <row r="51" spans="1:12" ht="48" customHeight="1" collapsed="1" x14ac:dyDescent="0.25">
      <c r="A51" s="253" t="s">
        <v>298</v>
      </c>
      <c r="B51" s="237" t="s">
        <v>20</v>
      </c>
      <c r="C51" s="251" t="s">
        <v>299</v>
      </c>
      <c r="D51" s="251" t="s">
        <v>300</v>
      </c>
      <c r="E51" s="237" t="s">
        <v>15</v>
      </c>
      <c r="F51" s="251" t="s">
        <v>301</v>
      </c>
      <c r="G51" s="251"/>
      <c r="H51" s="251"/>
      <c r="I51" s="423" t="s">
        <v>181</v>
      </c>
      <c r="J51" s="303"/>
      <c r="K51" s="67" t="str">
        <f t="shared" si="1"/>
        <v xml:space="preserve">FTP </v>
      </c>
      <c r="L51" s="434" t="s">
        <v>302</v>
      </c>
    </row>
    <row r="52" spans="1:12" ht="31.5" customHeight="1" thickBot="1" x14ac:dyDescent="0.3">
      <c r="A52" s="255"/>
      <c r="B52" s="239"/>
      <c r="C52" s="252"/>
      <c r="D52" s="252"/>
      <c r="E52" s="239"/>
      <c r="F52" s="252"/>
      <c r="G52" s="252"/>
      <c r="H52" s="252"/>
      <c r="I52" s="424"/>
      <c r="J52" s="304"/>
      <c r="K52" s="67" t="str">
        <f t="shared" si="1"/>
        <v/>
      </c>
      <c r="L52" s="435"/>
    </row>
    <row r="53" spans="1:12" ht="63" customHeight="1" thickBot="1" x14ac:dyDescent="0.3">
      <c r="A53" s="253" t="s">
        <v>209</v>
      </c>
      <c r="B53" s="237" t="s">
        <v>20</v>
      </c>
      <c r="C53" s="5" t="s">
        <v>28</v>
      </c>
      <c r="D53" s="4" t="s">
        <v>29</v>
      </c>
      <c r="E53" s="237" t="s">
        <v>239</v>
      </c>
      <c r="F53" s="237"/>
      <c r="G53" s="237" t="s">
        <v>303</v>
      </c>
      <c r="H53" s="237"/>
      <c r="I53" s="423" t="s">
        <v>304</v>
      </c>
      <c r="J53" s="166"/>
      <c r="K53" s="67" t="str">
        <f t="shared" si="1"/>
        <v xml:space="preserve">Varicent </v>
      </c>
      <c r="L53" s="270"/>
    </row>
    <row r="54" spans="1:12" ht="18" customHeight="1" thickBot="1" x14ac:dyDescent="0.3">
      <c r="A54" s="254"/>
      <c r="B54" s="238"/>
      <c r="C54" s="5" t="s">
        <v>305</v>
      </c>
      <c r="D54" s="4" t="s">
        <v>30</v>
      </c>
      <c r="E54" s="238"/>
      <c r="F54" s="238"/>
      <c r="G54" s="238"/>
      <c r="H54" s="238"/>
      <c r="I54" s="438"/>
      <c r="J54" s="166"/>
      <c r="K54" s="67" t="str">
        <f t="shared" si="1"/>
        <v/>
      </c>
      <c r="L54" s="271"/>
    </row>
    <row r="55" spans="1:12" ht="36" customHeight="1" thickBot="1" x14ac:dyDescent="0.3">
      <c r="A55" s="254"/>
      <c r="B55" s="238"/>
      <c r="C55" s="5" t="s">
        <v>306</v>
      </c>
      <c r="D55" s="4" t="s">
        <v>31</v>
      </c>
      <c r="E55" s="238"/>
      <c r="F55" s="238"/>
      <c r="G55" s="238"/>
      <c r="H55" s="238"/>
      <c r="I55" s="438"/>
      <c r="J55" s="166"/>
      <c r="K55" s="67" t="str">
        <f t="shared" si="1"/>
        <v/>
      </c>
      <c r="L55" s="272"/>
    </row>
    <row r="56" spans="1:12" ht="45" customHeight="1" thickBot="1" x14ac:dyDescent="0.3">
      <c r="A56" s="254"/>
      <c r="B56" s="238"/>
      <c r="C56" s="5" t="s">
        <v>307</v>
      </c>
      <c r="D56" s="4" t="s">
        <v>32</v>
      </c>
      <c r="E56" s="238"/>
      <c r="F56" s="238"/>
      <c r="G56" s="238"/>
      <c r="H56" s="238"/>
      <c r="I56" s="438"/>
      <c r="J56" s="166"/>
      <c r="K56" s="67" t="str">
        <f t="shared" si="1"/>
        <v/>
      </c>
      <c r="L56" s="120"/>
    </row>
    <row r="57" spans="1:12" ht="61.5" customHeight="1" thickBot="1" x14ac:dyDescent="0.3">
      <c r="A57" s="254"/>
      <c r="B57" s="238"/>
      <c r="C57" s="5" t="s">
        <v>308</v>
      </c>
      <c r="D57" s="4" t="s">
        <v>309</v>
      </c>
      <c r="E57" s="238" t="s">
        <v>22</v>
      </c>
      <c r="F57" s="238"/>
      <c r="G57" s="238"/>
      <c r="H57" s="238"/>
      <c r="I57" s="438"/>
      <c r="J57" s="166"/>
      <c r="K57" s="67" t="str">
        <f t="shared" si="1"/>
        <v/>
      </c>
      <c r="L57" s="432"/>
    </row>
    <row r="58" spans="1:12" ht="45" customHeight="1" thickBot="1" x14ac:dyDescent="0.3">
      <c r="A58" s="254"/>
      <c r="B58" s="238"/>
      <c r="C58" s="5" t="s">
        <v>310</v>
      </c>
      <c r="D58" s="4" t="s">
        <v>311</v>
      </c>
      <c r="E58" s="238"/>
      <c r="F58" s="238"/>
      <c r="G58" s="238"/>
      <c r="H58" s="238"/>
      <c r="I58" s="438"/>
      <c r="J58" s="166"/>
      <c r="K58" s="67" t="str">
        <f t="shared" si="1"/>
        <v/>
      </c>
      <c r="L58" s="433"/>
    </row>
    <row r="59" spans="1:12" ht="36" customHeight="1" thickBot="1" x14ac:dyDescent="0.3">
      <c r="A59" s="254"/>
      <c r="B59" s="238"/>
      <c r="C59" s="5" t="s">
        <v>312</v>
      </c>
      <c r="D59" s="8"/>
      <c r="E59" s="238"/>
      <c r="F59" s="238"/>
      <c r="G59" s="238"/>
      <c r="H59" s="238"/>
      <c r="I59" s="438"/>
      <c r="J59" s="166"/>
      <c r="K59" s="67" t="str">
        <f t="shared" si="1"/>
        <v/>
      </c>
      <c r="L59" s="433"/>
    </row>
    <row r="60" spans="1:12" ht="36" customHeight="1" thickBot="1" x14ac:dyDescent="0.3">
      <c r="A60" s="254"/>
      <c r="B60" s="238"/>
      <c r="C60" s="5" t="s">
        <v>313</v>
      </c>
      <c r="D60" s="8"/>
      <c r="E60" s="114"/>
      <c r="F60" s="238"/>
      <c r="G60" s="238"/>
      <c r="H60" s="238"/>
      <c r="I60" s="438"/>
      <c r="J60" s="166"/>
      <c r="K60" s="67" t="str">
        <f t="shared" si="1"/>
        <v/>
      </c>
      <c r="L60" s="433"/>
    </row>
    <row r="61" spans="1:12" ht="36.75" customHeight="1" thickBot="1" x14ac:dyDescent="0.3">
      <c r="A61" s="255"/>
      <c r="B61" s="239"/>
      <c r="C61" s="7" t="s">
        <v>314</v>
      </c>
      <c r="D61" s="6"/>
      <c r="E61" s="113"/>
      <c r="F61" s="239"/>
      <c r="G61" s="239"/>
      <c r="H61" s="239"/>
      <c r="I61" s="424"/>
      <c r="J61" s="166"/>
      <c r="K61" s="67" t="str">
        <f t="shared" si="1"/>
        <v/>
      </c>
      <c r="L61" s="433"/>
    </row>
    <row r="62" spans="1:12" ht="45.75" customHeight="1" outlineLevel="1" thickBot="1" x14ac:dyDescent="0.3">
      <c r="A62" s="112">
        <v>16</v>
      </c>
      <c r="B62" s="61" t="s">
        <v>20</v>
      </c>
      <c r="C62" s="3" t="s">
        <v>33</v>
      </c>
      <c r="D62" s="3"/>
      <c r="E62" s="61" t="s">
        <v>22</v>
      </c>
      <c r="F62" s="3"/>
      <c r="G62" s="3"/>
      <c r="H62" s="3"/>
      <c r="I62" s="3"/>
      <c r="J62" s="166"/>
      <c r="K62" s="67" t="str">
        <f t="shared" si="1"/>
        <v/>
      </c>
      <c r="L62" s="168" t="s">
        <v>158</v>
      </c>
    </row>
    <row r="63" spans="1:12" ht="27" customHeight="1" outlineLevel="1" x14ac:dyDescent="0.25">
      <c r="A63" s="248">
        <v>17</v>
      </c>
      <c r="B63" s="237" t="s">
        <v>34</v>
      </c>
      <c r="C63" s="251" t="s">
        <v>35</v>
      </c>
      <c r="D63" s="4" t="s">
        <v>36</v>
      </c>
      <c r="E63" s="237" t="s">
        <v>22</v>
      </c>
      <c r="F63" s="4"/>
      <c r="G63" s="237"/>
      <c r="H63" s="237"/>
      <c r="I63" s="237"/>
      <c r="J63" s="303"/>
      <c r="K63" s="436" t="str">
        <f t="shared" si="1"/>
        <v/>
      </c>
      <c r="L63" s="53" t="s">
        <v>155</v>
      </c>
    </row>
    <row r="64" spans="1:12" ht="72.75" customHeight="1" outlineLevel="1" thickBot="1" x14ac:dyDescent="0.3">
      <c r="A64" s="250"/>
      <c r="B64" s="239"/>
      <c r="C64" s="252"/>
      <c r="D64" s="3" t="s">
        <v>37</v>
      </c>
      <c r="E64" s="239"/>
      <c r="F64" s="3"/>
      <c r="G64" s="239"/>
      <c r="H64" s="239"/>
      <c r="I64" s="239"/>
      <c r="J64" s="304"/>
      <c r="K64" s="437"/>
      <c r="L64" s="53"/>
    </row>
    <row r="65" spans="1:12" ht="90.75" customHeight="1" outlineLevel="1" thickBot="1" x14ac:dyDescent="0.3">
      <c r="A65" s="112">
        <v>18</v>
      </c>
      <c r="B65" s="61" t="s">
        <v>34</v>
      </c>
      <c r="C65" s="3" t="s">
        <v>38</v>
      </c>
      <c r="D65" s="3"/>
      <c r="E65" s="61" t="s">
        <v>22</v>
      </c>
      <c r="F65" s="3"/>
      <c r="G65" s="3"/>
      <c r="H65" s="3"/>
      <c r="I65" s="3"/>
      <c r="J65" s="166"/>
      <c r="K65" s="67" t="str">
        <f t="shared" ref="K65:K81" si="2">IF(ISERROR(LEFT(I65,FIND(" ",I65))),"",LEFT(I65,FIND(" ",I65)))</f>
        <v/>
      </c>
      <c r="L65" s="53"/>
    </row>
    <row r="66" spans="1:12" ht="81.75" customHeight="1" outlineLevel="1" thickBot="1" x14ac:dyDescent="0.3">
      <c r="A66" s="112">
        <v>19</v>
      </c>
      <c r="B66" s="61" t="s">
        <v>34</v>
      </c>
      <c r="C66" s="3" t="s">
        <v>39</v>
      </c>
      <c r="D66" s="3"/>
      <c r="E66" s="61" t="s">
        <v>40</v>
      </c>
      <c r="F66" s="3"/>
      <c r="G66" s="3"/>
      <c r="H66" s="3"/>
      <c r="I66" s="3"/>
      <c r="J66" s="166"/>
      <c r="K66" s="67" t="str">
        <f t="shared" si="2"/>
        <v/>
      </c>
      <c r="L66" s="53" t="s">
        <v>160</v>
      </c>
    </row>
    <row r="67" spans="1:12" ht="90.75" customHeight="1" outlineLevel="1" thickBot="1" x14ac:dyDescent="0.3">
      <c r="A67" s="112">
        <v>20</v>
      </c>
      <c r="B67" s="61" t="s">
        <v>34</v>
      </c>
      <c r="C67" s="3" t="s">
        <v>41</v>
      </c>
      <c r="D67" s="3" t="s">
        <v>42</v>
      </c>
      <c r="E67" s="61" t="s">
        <v>22</v>
      </c>
      <c r="F67" s="3"/>
      <c r="G67" s="3"/>
      <c r="H67" s="3"/>
      <c r="I67" s="3"/>
      <c r="J67" s="166"/>
      <c r="K67" s="67" t="str">
        <f t="shared" si="2"/>
        <v/>
      </c>
      <c r="L67" s="53"/>
    </row>
    <row r="68" spans="1:12" ht="38.25" customHeight="1" outlineLevel="1" thickBot="1" x14ac:dyDescent="0.3">
      <c r="A68" s="237">
        <v>21</v>
      </c>
      <c r="B68" s="237" t="s">
        <v>34</v>
      </c>
      <c r="C68" s="251" t="s">
        <v>43</v>
      </c>
      <c r="D68" s="251" t="s">
        <v>19</v>
      </c>
      <c r="E68" s="237" t="s">
        <v>15</v>
      </c>
      <c r="F68" s="251"/>
      <c r="G68" s="251"/>
      <c r="H68" s="251"/>
      <c r="I68" s="251"/>
      <c r="J68" s="166"/>
      <c r="K68" s="67" t="str">
        <f t="shared" si="2"/>
        <v/>
      </c>
      <c r="L68" s="53"/>
    </row>
    <row r="69" spans="1:12" ht="15.75" outlineLevel="1" thickBot="1" x14ac:dyDescent="0.3">
      <c r="A69" s="239"/>
      <c r="B69" s="239"/>
      <c r="C69" s="252"/>
      <c r="D69" s="252"/>
      <c r="E69" s="239"/>
      <c r="F69" s="252"/>
      <c r="G69" s="252"/>
      <c r="H69" s="252"/>
      <c r="I69" s="252"/>
      <c r="J69" s="166"/>
      <c r="K69" s="67" t="str">
        <f t="shared" si="2"/>
        <v/>
      </c>
      <c r="L69" s="53"/>
    </row>
    <row r="70" spans="1:12" ht="49.5" customHeight="1" outlineLevel="1" thickBot="1" x14ac:dyDescent="0.3">
      <c r="A70" s="331">
        <v>22</v>
      </c>
      <c r="B70" s="237" t="s">
        <v>34</v>
      </c>
      <c r="C70" s="4" t="s">
        <v>28</v>
      </c>
      <c r="D70" s="4" t="s">
        <v>29</v>
      </c>
      <c r="E70" s="237" t="s">
        <v>22</v>
      </c>
      <c r="F70" s="4"/>
      <c r="G70" s="4"/>
      <c r="H70" s="4"/>
      <c r="I70" s="4"/>
      <c r="J70" s="166"/>
      <c r="K70" s="67" t="str">
        <f t="shared" si="2"/>
        <v/>
      </c>
      <c r="L70" s="53" t="s">
        <v>164</v>
      </c>
    </row>
    <row r="71" spans="1:12" ht="18" customHeight="1" outlineLevel="1" thickBot="1" x14ac:dyDescent="0.3">
      <c r="A71" s="332"/>
      <c r="B71" s="238"/>
      <c r="C71" s="5" t="s">
        <v>44</v>
      </c>
      <c r="D71" s="4" t="s">
        <v>30</v>
      </c>
      <c r="E71" s="238"/>
      <c r="F71" s="4"/>
      <c r="G71" s="4"/>
      <c r="H71" s="4"/>
      <c r="I71" s="4"/>
      <c r="J71" s="166"/>
      <c r="K71" s="67" t="str">
        <f t="shared" si="2"/>
        <v/>
      </c>
      <c r="L71" s="53"/>
    </row>
    <row r="72" spans="1:12" ht="36" customHeight="1" outlineLevel="1" thickBot="1" x14ac:dyDescent="0.3">
      <c r="A72" s="332"/>
      <c r="B72" s="238"/>
      <c r="C72" s="5" t="s">
        <v>45</v>
      </c>
      <c r="D72" s="4" t="s">
        <v>31</v>
      </c>
      <c r="E72" s="238"/>
      <c r="F72" s="4"/>
      <c r="G72" s="4"/>
      <c r="H72" s="4"/>
      <c r="I72" s="4"/>
      <c r="J72" s="166"/>
      <c r="K72" s="67" t="str">
        <f t="shared" si="2"/>
        <v/>
      </c>
      <c r="L72" s="53"/>
    </row>
    <row r="73" spans="1:12" ht="16.5" customHeight="1" outlineLevel="1" thickBot="1" x14ac:dyDescent="0.3">
      <c r="A73" s="332"/>
      <c r="B73" s="238"/>
      <c r="C73" s="5" t="s">
        <v>46</v>
      </c>
      <c r="D73" s="4" t="s">
        <v>32</v>
      </c>
      <c r="E73" s="238"/>
      <c r="F73" s="4"/>
      <c r="G73" s="4"/>
      <c r="H73" s="4"/>
      <c r="I73" s="4"/>
      <c r="J73" s="166"/>
      <c r="K73" s="67" t="str">
        <f t="shared" si="2"/>
        <v/>
      </c>
      <c r="L73" s="53"/>
    </row>
    <row r="74" spans="1:12" ht="27" customHeight="1" outlineLevel="1" thickBot="1" x14ac:dyDescent="0.3">
      <c r="A74" s="332"/>
      <c r="B74" s="238"/>
      <c r="C74" s="5" t="s">
        <v>47</v>
      </c>
      <c r="D74" s="8"/>
      <c r="E74" s="238"/>
      <c r="F74" s="8"/>
      <c r="G74" s="8"/>
      <c r="H74" s="8"/>
      <c r="I74" s="8"/>
      <c r="J74" s="166"/>
      <c r="K74" s="67" t="str">
        <f t="shared" si="2"/>
        <v/>
      </c>
      <c r="L74" s="53"/>
    </row>
    <row r="75" spans="1:12" ht="27.75" customHeight="1" outlineLevel="1" thickBot="1" x14ac:dyDescent="0.3">
      <c r="A75" s="333"/>
      <c r="B75" s="239"/>
      <c r="C75" s="7" t="s">
        <v>48</v>
      </c>
      <c r="D75" s="6"/>
      <c r="E75" s="239"/>
      <c r="F75" s="6"/>
      <c r="G75" s="6"/>
      <c r="H75" s="6"/>
      <c r="I75" s="6"/>
      <c r="J75" s="166"/>
      <c r="K75" s="67" t="str">
        <f t="shared" si="2"/>
        <v/>
      </c>
      <c r="L75" s="53"/>
    </row>
    <row r="76" spans="1:12" ht="63.75" customHeight="1" outlineLevel="1" thickBot="1" x14ac:dyDescent="0.3">
      <c r="A76" s="112">
        <v>23</v>
      </c>
      <c r="B76" s="61" t="s">
        <v>34</v>
      </c>
      <c r="C76" s="3" t="s">
        <v>315</v>
      </c>
      <c r="D76" s="3"/>
      <c r="E76" s="61" t="s">
        <v>22</v>
      </c>
      <c r="F76" s="3"/>
      <c r="G76" s="3"/>
      <c r="H76" s="3"/>
      <c r="I76" s="3"/>
      <c r="J76" s="166"/>
      <c r="K76" s="67" t="str">
        <f t="shared" si="2"/>
        <v/>
      </c>
      <c r="L76" s="53"/>
    </row>
    <row r="77" spans="1:12" ht="59.25" customHeight="1" outlineLevel="1" thickBot="1" x14ac:dyDescent="0.3">
      <c r="A77" s="112">
        <v>24</v>
      </c>
      <c r="B77" s="61" t="s">
        <v>34</v>
      </c>
      <c r="C77" s="3" t="s">
        <v>316</v>
      </c>
      <c r="D77" s="3"/>
      <c r="E77" s="61" t="s">
        <v>22</v>
      </c>
      <c r="F77" s="169" t="s">
        <v>317</v>
      </c>
      <c r="G77" s="3"/>
      <c r="H77" s="3"/>
      <c r="I77" s="3"/>
      <c r="J77" s="166"/>
      <c r="K77" s="67" t="str">
        <f t="shared" si="2"/>
        <v/>
      </c>
      <c r="L77" s="53"/>
    </row>
    <row r="78" spans="1:12" ht="57.75" customHeight="1" outlineLevel="1" thickBot="1" x14ac:dyDescent="0.3">
      <c r="A78" s="112">
        <v>25</v>
      </c>
      <c r="B78" s="61" t="s">
        <v>34</v>
      </c>
      <c r="C78" s="7" t="s">
        <v>318</v>
      </c>
      <c r="D78" s="3" t="s">
        <v>319</v>
      </c>
      <c r="E78" s="61" t="s">
        <v>320</v>
      </c>
      <c r="F78" s="3"/>
      <c r="G78" s="3"/>
      <c r="H78" s="3"/>
      <c r="I78" s="3"/>
      <c r="J78" s="166"/>
      <c r="K78" s="67" t="str">
        <f t="shared" si="2"/>
        <v/>
      </c>
      <c r="L78" s="53" t="s">
        <v>321</v>
      </c>
    </row>
    <row r="79" spans="1:12" ht="63.75" customHeight="1" outlineLevel="1" thickBot="1" x14ac:dyDescent="0.3">
      <c r="A79" s="112">
        <v>26</v>
      </c>
      <c r="B79" s="61" t="s">
        <v>34</v>
      </c>
      <c r="C79" s="3" t="s">
        <v>322</v>
      </c>
      <c r="D79" s="3"/>
      <c r="E79" s="61"/>
      <c r="F79" s="170" t="s">
        <v>323</v>
      </c>
      <c r="G79" s="3"/>
      <c r="H79" s="3"/>
      <c r="I79" s="3"/>
      <c r="J79" s="166"/>
      <c r="K79" s="67" t="str">
        <f t="shared" si="2"/>
        <v/>
      </c>
      <c r="L79" s="53"/>
    </row>
    <row r="80" spans="1:12" ht="36.75" customHeight="1" outlineLevel="1" thickBot="1" x14ac:dyDescent="0.3">
      <c r="A80" s="112">
        <v>27</v>
      </c>
      <c r="B80" s="61" t="s">
        <v>324</v>
      </c>
      <c r="C80" s="7" t="s">
        <v>325</v>
      </c>
      <c r="D80" s="3"/>
      <c r="E80" s="61" t="s">
        <v>326</v>
      </c>
      <c r="F80" s="170" t="s">
        <v>323</v>
      </c>
      <c r="G80" s="3"/>
      <c r="H80" s="3"/>
      <c r="I80" s="3"/>
      <c r="J80" s="166"/>
      <c r="K80" s="67" t="str">
        <f t="shared" si="2"/>
        <v/>
      </c>
      <c r="L80" s="53"/>
    </row>
    <row r="81" spans="1:12" ht="36.75" customHeight="1" outlineLevel="1" thickBot="1" x14ac:dyDescent="0.3">
      <c r="A81" s="112">
        <v>28</v>
      </c>
      <c r="B81" s="61" t="s">
        <v>324</v>
      </c>
      <c r="C81" s="3" t="s">
        <v>327</v>
      </c>
      <c r="D81" s="3" t="s">
        <v>328</v>
      </c>
      <c r="E81" s="61" t="s">
        <v>326</v>
      </c>
      <c r="F81" s="170" t="s">
        <v>323</v>
      </c>
      <c r="G81" s="3"/>
      <c r="H81" s="3"/>
      <c r="I81" s="3"/>
      <c r="J81" s="166"/>
      <c r="K81" s="171" t="str">
        <f t="shared" si="2"/>
        <v/>
      </c>
      <c r="L81" s="53"/>
    </row>
    <row r="82" spans="1:12" ht="15.75" thickBot="1" x14ac:dyDescent="0.3">
      <c r="A82" s="21"/>
      <c r="B82" s="22"/>
      <c r="C82" s="23"/>
      <c r="D82" s="23"/>
      <c r="E82" s="22"/>
      <c r="F82" s="23"/>
      <c r="G82" s="23"/>
      <c r="H82" s="23"/>
      <c r="I82" s="23"/>
      <c r="J82" s="21"/>
      <c r="K82" s="70"/>
      <c r="L82" s="53"/>
    </row>
    <row r="83" spans="1:12" ht="26.25" customHeight="1" outlineLevel="1" x14ac:dyDescent="0.25">
      <c r="A83" s="248" t="s">
        <v>329</v>
      </c>
      <c r="B83" s="334" t="s">
        <v>34</v>
      </c>
      <c r="C83" s="237" t="s">
        <v>82</v>
      </c>
      <c r="D83" s="237" t="s">
        <v>137</v>
      </c>
      <c r="E83" s="237"/>
      <c r="F83" s="110"/>
      <c r="G83" s="237"/>
      <c r="H83" s="237"/>
      <c r="I83" s="172" t="s">
        <v>75</v>
      </c>
      <c r="J83" s="173" t="s">
        <v>76</v>
      </c>
      <c r="K83" s="60" t="str">
        <f t="shared" ref="K83:K104" si="3">TRIM(IF(ISERROR(LEFT(I83,FIND(" ",I83))),"",LEFT(I83,FIND(" ",I83))))</f>
        <v>Jonathan</v>
      </c>
      <c r="L83" s="53"/>
    </row>
    <row r="84" spans="1:12" ht="15.75" outlineLevel="1" thickBot="1" x14ac:dyDescent="0.3">
      <c r="A84" s="249"/>
      <c r="B84" s="335"/>
      <c r="C84" s="238"/>
      <c r="D84" s="238"/>
      <c r="E84" s="238"/>
      <c r="F84" s="111"/>
      <c r="G84" s="238"/>
      <c r="H84" s="238"/>
      <c r="I84" s="3" t="s">
        <v>77</v>
      </c>
      <c r="J84" s="174" t="s">
        <v>78</v>
      </c>
      <c r="K84" s="61" t="str">
        <f t="shared" si="3"/>
        <v>Peter</v>
      </c>
      <c r="L84" s="53"/>
    </row>
    <row r="85" spans="1:12" outlineLevel="1" x14ac:dyDescent="0.25">
      <c r="A85" s="249"/>
      <c r="B85" s="335"/>
      <c r="C85" s="238"/>
      <c r="D85" s="238"/>
      <c r="E85" s="238"/>
      <c r="F85" s="111"/>
      <c r="G85" s="238"/>
      <c r="H85" s="238"/>
      <c r="I85" s="175" t="s">
        <v>58</v>
      </c>
      <c r="J85" s="15" t="s">
        <v>59</v>
      </c>
      <c r="K85" s="72" t="str">
        <f t="shared" si="3"/>
        <v>Beth</v>
      </c>
      <c r="L85" s="53"/>
    </row>
    <row r="86" spans="1:12" outlineLevel="1" x14ac:dyDescent="0.25">
      <c r="A86" s="249"/>
      <c r="B86" s="335"/>
      <c r="C86" s="238"/>
      <c r="D86" s="238"/>
      <c r="E86" s="238"/>
      <c r="F86" s="111"/>
      <c r="G86" s="238"/>
      <c r="H86" s="238"/>
      <c r="I86" s="175" t="s">
        <v>330</v>
      </c>
      <c r="J86" s="15" t="s">
        <v>331</v>
      </c>
      <c r="K86" s="72" t="str">
        <f t="shared" si="3"/>
        <v>Laura</v>
      </c>
      <c r="L86" s="53"/>
    </row>
    <row r="87" spans="1:12" outlineLevel="1" x14ac:dyDescent="0.25">
      <c r="A87" s="249"/>
      <c r="B87" s="335"/>
      <c r="C87" s="238"/>
      <c r="D87" s="238"/>
      <c r="E87" s="238"/>
      <c r="F87" s="111"/>
      <c r="G87" s="238"/>
      <c r="H87" s="238"/>
      <c r="I87" s="175" t="s">
        <v>79</v>
      </c>
      <c r="J87" s="15" t="s">
        <v>83</v>
      </c>
      <c r="K87" s="72" t="str">
        <f t="shared" si="3"/>
        <v>Anisa</v>
      </c>
      <c r="L87" s="53"/>
    </row>
    <row r="88" spans="1:12" outlineLevel="1" x14ac:dyDescent="0.25">
      <c r="A88" s="249"/>
      <c r="B88" s="335"/>
      <c r="C88" s="238"/>
      <c r="D88" s="238"/>
      <c r="E88" s="238"/>
      <c r="F88" s="111"/>
      <c r="G88" s="238"/>
      <c r="H88" s="238"/>
      <c r="I88" s="175" t="s">
        <v>80</v>
      </c>
      <c r="J88" s="15" t="s">
        <v>84</v>
      </c>
      <c r="K88" s="72" t="str">
        <f t="shared" si="3"/>
        <v>Michelle</v>
      </c>
      <c r="L88" s="53"/>
    </row>
    <row r="89" spans="1:12" outlineLevel="1" x14ac:dyDescent="0.25">
      <c r="A89" s="249"/>
      <c r="B89" s="335"/>
      <c r="C89" s="238"/>
      <c r="D89" s="238"/>
      <c r="E89" s="238"/>
      <c r="F89" s="111"/>
      <c r="G89" s="238"/>
      <c r="H89" s="238"/>
      <c r="I89" s="175" t="s">
        <v>81</v>
      </c>
      <c r="J89" s="15" t="s">
        <v>85</v>
      </c>
      <c r="K89" s="72" t="str">
        <f t="shared" si="3"/>
        <v>Jennifer</v>
      </c>
      <c r="L89" s="53"/>
    </row>
    <row r="90" spans="1:12" ht="15.75" outlineLevel="1" thickBot="1" x14ac:dyDescent="0.3">
      <c r="A90" s="249"/>
      <c r="B90" s="336"/>
      <c r="C90" s="239"/>
      <c r="D90" s="239"/>
      <c r="E90" s="239"/>
      <c r="F90" s="176"/>
      <c r="G90" s="239"/>
      <c r="H90" s="239"/>
      <c r="I90" s="19" t="s">
        <v>57</v>
      </c>
      <c r="J90" s="177" t="s">
        <v>86</v>
      </c>
      <c r="K90" s="73" t="str">
        <f t="shared" si="3"/>
        <v>Sarah</v>
      </c>
      <c r="L90" s="53"/>
    </row>
    <row r="91" spans="1:12" ht="42.75" customHeight="1" outlineLevel="1" thickBot="1" x14ac:dyDescent="0.3">
      <c r="A91" s="248" t="s">
        <v>332</v>
      </c>
      <c r="B91" s="339" t="s">
        <v>34</v>
      </c>
      <c r="C91" s="320" t="s">
        <v>153</v>
      </c>
      <c r="D91" s="323" t="s">
        <v>143</v>
      </c>
      <c r="E91" s="246"/>
      <c r="F91" s="96"/>
      <c r="G91" s="326" t="s">
        <v>154</v>
      </c>
      <c r="H91" s="246"/>
      <c r="I91" s="172" t="s">
        <v>144</v>
      </c>
      <c r="J91" s="173" t="s">
        <v>144</v>
      </c>
      <c r="K91" s="60" t="str">
        <f t="shared" si="3"/>
        <v>NA</v>
      </c>
      <c r="L91" s="53"/>
    </row>
    <row r="92" spans="1:12" ht="28.5" customHeight="1" outlineLevel="1" thickBot="1" x14ac:dyDescent="0.3">
      <c r="A92" s="249"/>
      <c r="B92" s="340"/>
      <c r="C92" s="321"/>
      <c r="D92" s="324"/>
      <c r="E92" s="319"/>
      <c r="F92" s="27"/>
      <c r="G92" s="327"/>
      <c r="H92" s="319"/>
      <c r="I92" s="172" t="s">
        <v>145</v>
      </c>
      <c r="J92" s="173" t="s">
        <v>145</v>
      </c>
      <c r="K92" s="74" t="str">
        <f t="shared" si="3"/>
        <v>NA</v>
      </c>
      <c r="L92" s="53"/>
    </row>
    <row r="93" spans="1:12" ht="28.5" customHeight="1" outlineLevel="1" thickBot="1" x14ac:dyDescent="0.3">
      <c r="A93" s="249"/>
      <c r="B93" s="340"/>
      <c r="C93" s="321"/>
      <c r="D93" s="324"/>
      <c r="E93" s="319"/>
      <c r="F93" s="178"/>
      <c r="G93" s="327"/>
      <c r="H93" s="319"/>
      <c r="I93" s="172" t="s">
        <v>77</v>
      </c>
      <c r="J93" s="174" t="s">
        <v>78</v>
      </c>
      <c r="K93" s="74" t="str">
        <f t="shared" si="3"/>
        <v>Peter</v>
      </c>
      <c r="L93" s="53"/>
    </row>
    <row r="94" spans="1:12" ht="28.5" customHeight="1" outlineLevel="1" thickBot="1" x14ac:dyDescent="0.3">
      <c r="A94" s="249"/>
      <c r="B94" s="340"/>
      <c r="C94" s="321"/>
      <c r="D94" s="324"/>
      <c r="E94" s="319"/>
      <c r="F94" s="27"/>
      <c r="G94" s="327"/>
      <c r="H94" s="319"/>
      <c r="I94" s="172" t="s">
        <v>75</v>
      </c>
      <c r="J94" s="173" t="s">
        <v>76</v>
      </c>
      <c r="K94" s="74" t="str">
        <f t="shared" si="3"/>
        <v>Jonathan</v>
      </c>
      <c r="L94" s="53"/>
    </row>
    <row r="95" spans="1:12" ht="28.5" customHeight="1" outlineLevel="1" thickBot="1" x14ac:dyDescent="0.3">
      <c r="A95" s="249"/>
      <c r="B95" s="340"/>
      <c r="C95" s="321"/>
      <c r="D95" s="324"/>
      <c r="E95" s="319"/>
      <c r="F95" s="27"/>
      <c r="G95" s="327"/>
      <c r="H95" s="319"/>
      <c r="I95" s="172" t="s">
        <v>128</v>
      </c>
      <c r="J95" s="173" t="s">
        <v>133</v>
      </c>
      <c r="K95" s="74" t="str">
        <f t="shared" si="3"/>
        <v>Catherine</v>
      </c>
      <c r="L95" s="53"/>
    </row>
    <row r="96" spans="1:12" ht="28.5" customHeight="1" outlineLevel="1" thickBot="1" x14ac:dyDescent="0.3">
      <c r="A96" s="249"/>
      <c r="B96" s="340"/>
      <c r="C96" s="321"/>
      <c r="D96" s="324"/>
      <c r="E96" s="319"/>
      <c r="F96" s="179"/>
      <c r="G96" s="327"/>
      <c r="H96" s="319"/>
      <c r="I96" s="172" t="s">
        <v>58</v>
      </c>
      <c r="J96" s="173" t="s">
        <v>148</v>
      </c>
      <c r="K96" s="74" t="str">
        <f t="shared" si="3"/>
        <v>Beth</v>
      </c>
      <c r="L96" s="53"/>
    </row>
    <row r="97" spans="1:12" ht="28.5" customHeight="1" outlineLevel="1" thickBot="1" x14ac:dyDescent="0.3">
      <c r="A97" s="249"/>
      <c r="B97" s="340"/>
      <c r="C97" s="321"/>
      <c r="D97" s="324"/>
      <c r="E97" s="319"/>
      <c r="F97" s="27"/>
      <c r="G97" s="327"/>
      <c r="H97" s="319"/>
      <c r="I97" s="172" t="s">
        <v>330</v>
      </c>
      <c r="J97" s="173" t="s">
        <v>333</v>
      </c>
      <c r="K97" s="74" t="str">
        <f t="shared" si="3"/>
        <v>Laura</v>
      </c>
      <c r="L97" s="53"/>
    </row>
    <row r="98" spans="1:12" ht="15.75" outlineLevel="1" thickBot="1" x14ac:dyDescent="0.3">
      <c r="A98" s="249"/>
      <c r="B98" s="340"/>
      <c r="C98" s="321"/>
      <c r="D98" s="324"/>
      <c r="E98" s="319"/>
      <c r="F98" s="27"/>
      <c r="G98" s="327"/>
      <c r="H98" s="319"/>
      <c r="I98" s="172" t="s">
        <v>79</v>
      </c>
      <c r="J98" s="15" t="s">
        <v>83</v>
      </c>
      <c r="K98" s="74" t="str">
        <f t="shared" si="3"/>
        <v>Anisa</v>
      </c>
      <c r="L98" s="53"/>
    </row>
    <row r="99" spans="1:12" ht="15.75" outlineLevel="1" thickBot="1" x14ac:dyDescent="0.3">
      <c r="A99" s="249"/>
      <c r="B99" s="340"/>
      <c r="C99" s="321"/>
      <c r="D99" s="324"/>
      <c r="E99" s="319"/>
      <c r="F99" s="27"/>
      <c r="G99" s="327"/>
      <c r="H99" s="319"/>
      <c r="I99" s="172" t="s">
        <v>80</v>
      </c>
      <c r="J99" s="180" t="s">
        <v>334</v>
      </c>
      <c r="K99" s="75" t="str">
        <f t="shared" si="3"/>
        <v>Michelle</v>
      </c>
      <c r="L99" s="53"/>
    </row>
    <row r="100" spans="1:12" ht="15.75" outlineLevel="1" thickBot="1" x14ac:dyDescent="0.3">
      <c r="A100" s="249"/>
      <c r="B100" s="340"/>
      <c r="C100" s="321"/>
      <c r="D100" s="324"/>
      <c r="E100" s="319"/>
      <c r="F100" s="27"/>
      <c r="G100" s="327"/>
      <c r="H100" s="319"/>
      <c r="I100" s="172" t="s">
        <v>81</v>
      </c>
      <c r="J100" s="25" t="s">
        <v>149</v>
      </c>
      <c r="K100" s="75" t="str">
        <f t="shared" si="3"/>
        <v>Jennifer</v>
      </c>
      <c r="L100" s="53"/>
    </row>
    <row r="101" spans="1:12" ht="15.75" outlineLevel="1" thickBot="1" x14ac:dyDescent="0.3">
      <c r="A101" s="249"/>
      <c r="B101" s="340"/>
      <c r="C101" s="321"/>
      <c r="D101" s="324"/>
      <c r="E101" s="319"/>
      <c r="F101" s="178"/>
      <c r="G101" s="327"/>
      <c r="H101" s="319"/>
      <c r="I101" s="172" t="s">
        <v>146</v>
      </c>
      <c r="J101" s="25" t="s">
        <v>150</v>
      </c>
      <c r="K101" s="75" t="str">
        <f t="shared" si="3"/>
        <v>Estefania</v>
      </c>
      <c r="L101" s="53"/>
    </row>
    <row r="102" spans="1:12" ht="15.75" outlineLevel="1" thickBot="1" x14ac:dyDescent="0.3">
      <c r="A102" s="249"/>
      <c r="B102" s="340"/>
      <c r="C102" s="321"/>
      <c r="D102" s="324"/>
      <c r="E102" s="319"/>
      <c r="F102" s="27"/>
      <c r="G102" s="327"/>
      <c r="H102" s="319"/>
      <c r="I102" s="172" t="s">
        <v>147</v>
      </c>
      <c r="J102" s="25" t="s">
        <v>151</v>
      </c>
      <c r="K102" s="75" t="str">
        <f t="shared" si="3"/>
        <v>Juliette</v>
      </c>
      <c r="L102" s="53"/>
    </row>
    <row r="103" spans="1:12" ht="15.75" outlineLevel="1" thickBot="1" x14ac:dyDescent="0.3">
      <c r="A103" s="249"/>
      <c r="B103" s="340"/>
      <c r="C103" s="321"/>
      <c r="D103" s="324"/>
      <c r="E103" s="319"/>
      <c r="F103" s="27"/>
      <c r="G103" s="327"/>
      <c r="H103" s="319"/>
      <c r="I103" s="172" t="s">
        <v>57</v>
      </c>
      <c r="J103" s="25" t="s">
        <v>60</v>
      </c>
      <c r="K103" s="75" t="str">
        <f t="shared" si="3"/>
        <v>Sarah</v>
      </c>
      <c r="L103" s="53"/>
    </row>
    <row r="104" spans="1:12" ht="15.75" outlineLevel="1" thickBot="1" x14ac:dyDescent="0.3">
      <c r="A104" s="250"/>
      <c r="B104" s="341"/>
      <c r="C104" s="322"/>
      <c r="D104" s="325"/>
      <c r="E104" s="247"/>
      <c r="F104" s="100"/>
      <c r="G104" s="328"/>
      <c r="H104" s="247"/>
      <c r="I104" s="105" t="s">
        <v>131</v>
      </c>
      <c r="J104" s="26" t="s">
        <v>152</v>
      </c>
      <c r="K104" s="112" t="str">
        <f t="shared" si="3"/>
        <v>Richard</v>
      </c>
      <c r="L104" s="53"/>
    </row>
    <row r="105" spans="1:12" ht="15.75" thickBot="1" x14ac:dyDescent="0.3">
      <c r="A105" s="49"/>
      <c r="B105" s="50"/>
      <c r="C105" s="51"/>
      <c r="D105" s="51"/>
      <c r="E105" s="50"/>
      <c r="F105" s="51"/>
      <c r="G105" s="51"/>
      <c r="H105" s="51"/>
      <c r="I105" s="51"/>
      <c r="J105" s="49"/>
      <c r="K105" s="50"/>
      <c r="L105" s="54"/>
    </row>
  </sheetData>
  <mergeCells count="143">
    <mergeCell ref="A70:A75"/>
    <mergeCell ref="B70:B75"/>
    <mergeCell ref="E70:E75"/>
    <mergeCell ref="H63:H64"/>
    <mergeCell ref="I63:I64"/>
    <mergeCell ref="J63:J64"/>
    <mergeCell ref="H83:H90"/>
    <mergeCell ref="A91:A104"/>
    <mergeCell ref="B91:B104"/>
    <mergeCell ref="C91:C104"/>
    <mergeCell ref="D91:D104"/>
    <mergeCell ref="E91:E104"/>
    <mergeCell ref="G91:G104"/>
    <mergeCell ref="H91:H104"/>
    <mergeCell ref="A83:A90"/>
    <mergeCell ref="B83:B90"/>
    <mergeCell ref="C83:C90"/>
    <mergeCell ref="D83:D90"/>
    <mergeCell ref="E83:E90"/>
    <mergeCell ref="G83:G90"/>
    <mergeCell ref="A68:A69"/>
    <mergeCell ref="B68:B69"/>
    <mergeCell ref="C68:C69"/>
    <mergeCell ref="D68:D69"/>
    <mergeCell ref="E68:E69"/>
    <mergeCell ref="F68:F69"/>
    <mergeCell ref="H53:H61"/>
    <mergeCell ref="I53:I61"/>
    <mergeCell ref="G68:G69"/>
    <mergeCell ref="H68:H69"/>
    <mergeCell ref="I68:I69"/>
    <mergeCell ref="E57:E59"/>
    <mergeCell ref="L57:L61"/>
    <mergeCell ref="A63:A64"/>
    <mergeCell ref="B63:B64"/>
    <mergeCell ref="C63:C64"/>
    <mergeCell ref="E63:E64"/>
    <mergeCell ref="G63:G64"/>
    <mergeCell ref="G51:G52"/>
    <mergeCell ref="H51:H52"/>
    <mergeCell ref="I51:I52"/>
    <mergeCell ref="J51:J52"/>
    <mergeCell ref="L51:L52"/>
    <mergeCell ref="A53:A61"/>
    <mergeCell ref="B53:B61"/>
    <mergeCell ref="E53:E56"/>
    <mergeCell ref="F53:F61"/>
    <mergeCell ref="G53:G61"/>
    <mergeCell ref="K63:K64"/>
    <mergeCell ref="L46:L48"/>
    <mergeCell ref="D47:D48"/>
    <mergeCell ref="A51:A52"/>
    <mergeCell ref="B51:B52"/>
    <mergeCell ref="C51:C52"/>
    <mergeCell ref="D51:D52"/>
    <mergeCell ref="E51:E52"/>
    <mergeCell ref="F51:F52"/>
    <mergeCell ref="L53:L55"/>
    <mergeCell ref="H44:H45"/>
    <mergeCell ref="I44:I45"/>
    <mergeCell ref="J44:K45"/>
    <mergeCell ref="A46:A48"/>
    <mergeCell ref="B46:B48"/>
    <mergeCell ref="C46:C48"/>
    <mergeCell ref="E46:E48"/>
    <mergeCell ref="F46:F48"/>
    <mergeCell ref="G46:G48"/>
    <mergeCell ref="H46:H48"/>
    <mergeCell ref="A44:A45"/>
    <mergeCell ref="B44:B45"/>
    <mergeCell ref="C44:C45"/>
    <mergeCell ref="D44:D45"/>
    <mergeCell ref="E44:E45"/>
    <mergeCell ref="G44:G45"/>
    <mergeCell ref="I46:I48"/>
    <mergeCell ref="J46:K48"/>
    <mergeCell ref="G41:G43"/>
    <mergeCell ref="H41:H43"/>
    <mergeCell ref="I41:I43"/>
    <mergeCell ref="J41:K43"/>
    <mergeCell ref="L41:L43"/>
    <mergeCell ref="D42:D43"/>
    <mergeCell ref="D39:D40"/>
    <mergeCell ref="A41:A43"/>
    <mergeCell ref="B41:B43"/>
    <mergeCell ref="C41:C43"/>
    <mergeCell ref="E41:E43"/>
    <mergeCell ref="F41:F43"/>
    <mergeCell ref="A37:A40"/>
    <mergeCell ref="B37:B40"/>
    <mergeCell ref="C37:C40"/>
    <mergeCell ref="E37:E40"/>
    <mergeCell ref="G37:G40"/>
    <mergeCell ref="H37:H40"/>
    <mergeCell ref="I37:K40"/>
    <mergeCell ref="A17:A28"/>
    <mergeCell ref="B17:B28"/>
    <mergeCell ref="C17:C28"/>
    <mergeCell ref="D17:D27"/>
    <mergeCell ref="E17:E28"/>
    <mergeCell ref="G17:G28"/>
    <mergeCell ref="A14:A16"/>
    <mergeCell ref="B14:B16"/>
    <mergeCell ref="C14:C16"/>
    <mergeCell ref="E14:E16"/>
    <mergeCell ref="F14:F16"/>
    <mergeCell ref="G14:G16"/>
    <mergeCell ref="M4:M5"/>
    <mergeCell ref="N4:N5"/>
    <mergeCell ref="O4:O5"/>
    <mergeCell ref="I4:I5"/>
    <mergeCell ref="J4:J5"/>
    <mergeCell ref="H17:H27"/>
    <mergeCell ref="L18:L19"/>
    <mergeCell ref="L20:L21"/>
    <mergeCell ref="H14:H16"/>
    <mergeCell ref="I14:I16"/>
    <mergeCell ref="J14:J16"/>
    <mergeCell ref="K14:K16"/>
    <mergeCell ref="A1:G1"/>
    <mergeCell ref="H1:I1"/>
    <mergeCell ref="N1:N3"/>
    <mergeCell ref="A2:E2"/>
    <mergeCell ref="H2:I3"/>
    <mergeCell ref="J2:J3"/>
    <mergeCell ref="A3:E3"/>
    <mergeCell ref="A10:A13"/>
    <mergeCell ref="B10:B13"/>
    <mergeCell ref="C10:C13"/>
    <mergeCell ref="E10:E13"/>
    <mergeCell ref="F10:F13"/>
    <mergeCell ref="C4:C5"/>
    <mergeCell ref="F4:F5"/>
    <mergeCell ref="G4:G5"/>
    <mergeCell ref="H4:H5"/>
    <mergeCell ref="G10:G13"/>
    <mergeCell ref="H10:H13"/>
    <mergeCell ref="I10:I13"/>
    <mergeCell ref="J10:J13"/>
    <mergeCell ref="K10:K13"/>
    <mergeCell ref="L11:O11"/>
    <mergeCell ref="K4:K5"/>
    <mergeCell ref="L4:L5"/>
  </mergeCells>
  <dataValidations count="1">
    <dataValidation type="list" allowBlank="1" showInputMessage="1" showErrorMessage="1" sqref="J2">
      <formula1>FiscalMonth</formula1>
    </dataValidation>
  </dataValidations>
  <hyperlinks>
    <hyperlink ref="J7" r:id="rId1"/>
    <hyperlink ref="J8" r:id="rId2"/>
    <hyperlink ref="J9" r:id="rId3" display="BMCGUIRE@coach.com"/>
    <hyperlink ref="J83" r:id="rId4"/>
    <hyperlink ref="J84" r:id="rId5"/>
    <hyperlink ref="J85" r:id="rId6"/>
    <hyperlink ref="J86" r:id="rId7"/>
    <hyperlink ref="J87" r:id="rId8"/>
    <hyperlink ref="J88" r:id="rId9"/>
    <hyperlink ref="J89" r:id="rId10"/>
    <hyperlink ref="J90" r:id="rId11"/>
    <hyperlink ref="J22" r:id="rId12"/>
    <hyperlink ref="J27" r:id="rId13"/>
    <hyperlink ref="J23" r:id="rId14"/>
    <hyperlink ref="J24" r:id="rId15"/>
    <hyperlink ref="J25" r:id="rId16"/>
    <hyperlink ref="J26" r:id="rId17"/>
    <hyperlink ref="J19" r:id="rId18"/>
    <hyperlink ref="J20" r:id="rId19"/>
    <hyperlink ref="J21" r:id="rId20"/>
    <hyperlink ref="I44" r:id="rId21" display="Step 8- Monthly TS Goals File.docx"/>
    <hyperlink ref="I10" r:id="rId22"/>
    <hyperlink ref="J91" r:id="rId23"/>
    <hyperlink ref="J93" r:id="rId24"/>
    <hyperlink ref="J94" r:id="rId25"/>
    <hyperlink ref="J95" r:id="rId26"/>
    <hyperlink ref="J96" r:id="rId27"/>
    <hyperlink ref="J97" r:id="rId28"/>
    <hyperlink ref="J98" r:id="rId29"/>
    <hyperlink ref="J99" r:id="rId30"/>
    <hyperlink ref="J100" r:id="rId31"/>
    <hyperlink ref="J101" r:id="rId32"/>
    <hyperlink ref="J102" r:id="rId33"/>
    <hyperlink ref="J103" r:id="rId34"/>
    <hyperlink ref="J104" r:id="rId35"/>
    <hyperlink ref="I41" r:id="rId36"/>
    <hyperlink ref="I51:I52" r:id="rId37" display="FTP Upload Guide"/>
    <hyperlink ref="I44:I45" r:id="rId38" display="Process Documentation\Step 8- Monthly TS Goals File.docx"/>
    <hyperlink ref="I53:I61" r:id="rId39" display="Varicent Report Processing Guide"/>
  </hyperlinks>
  <pageMargins left="0.7" right="0.7" top="0.75" bottom="0.75" header="0.3" footer="0.3"/>
  <pageSetup paperSize="17" scale="54" fitToHeight="0" orientation="landscape" r:id="rId40"/>
  <headerFooter>
    <oddFooter>&amp;C&amp;Z&amp;F</oddFooter>
  </headerFooter>
  <rowBreaks count="5" manualBreakCount="5">
    <brk id="16" max="14" man="1"/>
    <brk id="28" max="14" man="1"/>
    <brk id="40" max="14" man="1"/>
    <brk id="52" max="16383" man="1"/>
    <brk id="75" max="14" man="1"/>
  </rowBreaks>
  <drawing r:id="rId41"/>
  <legacyDrawing r:id="rId42"/>
  <controls>
    <mc:AlternateContent xmlns:mc="http://schemas.openxmlformats.org/markup-compatibility/2006">
      <mc:Choice Requires="x14">
        <control shapeId="3093" r:id="rId43" name="CheckBox1">
          <controlPr defaultSize="0" autoLine="0" r:id="rId44">
            <anchor moveWithCells="1">
              <from>
                <xdr:col>7</xdr:col>
                <xdr:colOff>47625</xdr:colOff>
                <xdr:row>5</xdr:row>
                <xdr:rowOff>66675</xdr:rowOff>
              </from>
              <to>
                <xdr:col>7</xdr:col>
                <xdr:colOff>1000125</xdr:colOff>
                <xdr:row>33</xdr:row>
                <xdr:rowOff>171450</xdr:rowOff>
              </to>
            </anchor>
          </controlPr>
        </control>
      </mc:Choice>
      <mc:Fallback>
        <control shapeId="3093" r:id="rId43" name="CheckBox1"/>
      </mc:Fallback>
    </mc:AlternateContent>
    <mc:AlternateContent xmlns:mc="http://schemas.openxmlformats.org/markup-compatibility/2006">
      <mc:Choice Requires="x14">
        <control shapeId="3077" r:id="rId45" name="CheckBox21">
          <controlPr defaultSize="0" autoLine="0" r:id="rId46">
            <anchor moveWithCells="1">
              <from>
                <xdr:col>7</xdr:col>
                <xdr:colOff>38100</xdr:colOff>
                <xdr:row>28</xdr:row>
                <xdr:rowOff>47625</xdr:rowOff>
              </from>
              <to>
                <xdr:col>7</xdr:col>
                <xdr:colOff>1066800</xdr:colOff>
                <xdr:row>38</xdr:row>
                <xdr:rowOff>714375</xdr:rowOff>
              </to>
            </anchor>
          </controlPr>
        </control>
      </mc:Choice>
      <mc:Fallback>
        <control shapeId="3077" r:id="rId45" name="CheckBox21"/>
      </mc:Fallback>
    </mc:AlternateContent>
    <mc:AlternateContent xmlns:mc="http://schemas.openxmlformats.org/markup-compatibility/2006">
      <mc:Choice Requires="x14">
        <control shapeId="3075" r:id="rId47" name="Step1">
          <controlPr defaultSize="0" autoLine="0" autoPict="0" r:id="rId48">
            <anchor moveWithCells="1" sizeWithCells="1">
              <from>
                <xdr:col>7</xdr:col>
                <xdr:colOff>19050</xdr:colOff>
                <xdr:row>6</xdr:row>
                <xdr:rowOff>0</xdr:rowOff>
              </from>
              <to>
                <xdr:col>7</xdr:col>
                <xdr:colOff>990600</xdr:colOff>
                <xdr:row>6</xdr:row>
                <xdr:rowOff>0</xdr:rowOff>
              </to>
            </anchor>
          </controlPr>
        </control>
      </mc:Choice>
      <mc:Fallback>
        <control shapeId="3075" r:id="rId47" name="Step1"/>
      </mc:Fallback>
    </mc:AlternateContent>
    <mc:AlternateContent xmlns:mc="http://schemas.openxmlformats.org/markup-compatibility/2006">
      <mc:Choice Requires="x14">
        <control shapeId="3073" r:id="rId49" name="Button 1">
          <controlPr defaultSize="0" print="0" autoFill="0" autoPict="0" macro="[1]!Step1Macro">
            <anchor moveWithCells="1" sizeWithCells="1">
              <from>
                <xdr:col>5</xdr:col>
                <xdr:colOff>38100</xdr:colOff>
                <xdr:row>6</xdr:row>
                <xdr:rowOff>0</xdr:rowOff>
              </from>
              <to>
                <xdr:col>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50" name="Button 2">
          <controlPr defaultSize="0" print="0" autoFill="0" autoPict="0" macro="[1]!Step2Macro">
            <anchor moveWithCells="1" sizeWithCells="1">
              <from>
                <xdr:col>5</xdr:col>
                <xdr:colOff>38100</xdr:colOff>
                <xdr:row>6</xdr:row>
                <xdr:rowOff>0</xdr:rowOff>
              </from>
              <to>
                <xdr:col>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51" name="Button 4">
          <controlPr defaultSize="0" print="0" autoFill="0" autoPict="0" macro="[1]!Step3Macro">
            <anchor moveWithCells="1" sizeWithCells="1">
              <from>
                <xdr:col>5</xdr:col>
                <xdr:colOff>9525</xdr:colOff>
                <xdr:row>6</xdr:row>
                <xdr:rowOff>0</xdr:rowOff>
              </from>
              <to>
                <xdr:col>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52" name="Button 7">
          <controlPr defaultSize="0" print="0" autoFill="0" autoPict="0" macro="[1]!GS1Macro">
            <anchor moveWithCells="1" sizeWithCells="1">
              <from>
                <xdr:col>5</xdr:col>
                <xdr:colOff>28575</xdr:colOff>
                <xdr:row>82</xdr:row>
                <xdr:rowOff>0</xdr:rowOff>
              </from>
              <to>
                <xdr:col>5</xdr:col>
                <xdr:colOff>619125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53" name="Button 8">
          <controlPr defaultSize="0" print="0" autoFill="0" autoPict="0" macro="[1]!StoreOpsStep22Macro">
            <anchor moveWithCells="1" sizeWithCells="1">
              <from>
                <xdr:col>9</xdr:col>
                <xdr:colOff>19050</xdr:colOff>
                <xdr:row>61</xdr:row>
                <xdr:rowOff>0</xdr:rowOff>
              </from>
              <to>
                <xdr:col>9</xdr:col>
                <xdr:colOff>1552575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54" name="Button 9">
          <controlPr defaultSize="0" print="0" autoFill="0" autoPict="0" macro="[1]!Step6">
            <anchor moveWithCells="1" sizeWithCells="1">
              <from>
                <xdr:col>5</xdr:col>
                <xdr:colOff>9525</xdr:colOff>
                <xdr:row>6</xdr:row>
                <xdr:rowOff>0</xdr:rowOff>
              </from>
              <to>
                <xdr:col>5</xdr:col>
                <xdr:colOff>619125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55" name="Button 10">
          <controlPr defaultSize="0" print="0" autoFill="0" autoPict="0" macro="[1]!Step_Seventeen">
            <anchor moveWithCells="1" sizeWithCells="1">
              <from>
                <xdr:col>5</xdr:col>
                <xdr:colOff>38100</xdr:colOff>
                <xdr:row>61</xdr:row>
                <xdr:rowOff>0</xdr:rowOff>
              </from>
              <to>
                <xdr:col>5</xdr:col>
                <xdr:colOff>619125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56" name="Button 11">
          <controlPr defaultSize="0" print="0" autoFill="0" autoPict="0" macro="[1]!Contest_Store_Ops">
            <anchor moveWithCells="1" sizeWithCells="1">
              <from>
                <xdr:col>9</xdr:col>
                <xdr:colOff>19050</xdr:colOff>
                <xdr:row>61</xdr:row>
                <xdr:rowOff>0</xdr:rowOff>
              </from>
              <to>
                <xdr:col>9</xdr:col>
                <xdr:colOff>1533525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57" name="Button 12">
          <controlPr defaultSize="0" print="0" autoFill="0" autoPict="0" macro="[1]!IR_Returns_Directions">
            <anchor moveWithCells="1" sizeWithCells="1">
              <from>
                <xdr:col>5</xdr:col>
                <xdr:colOff>0</xdr:colOff>
                <xdr:row>36</xdr:row>
                <xdr:rowOff>19050</xdr:rowOff>
              </from>
              <to>
                <xdr:col>5</xdr:col>
                <xdr:colOff>628650</xdr:colOff>
                <xdr:row>39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58" name="Check Box 13">
          <controlPr defaultSize="0" autoFill="0" autoLine="0" autoPict="0">
            <anchor moveWithCells="1">
              <from>
                <xdr:col>7</xdr:col>
                <xdr:colOff>19050</xdr:colOff>
                <xdr:row>36</xdr:row>
                <xdr:rowOff>133350</xdr:rowOff>
              </from>
              <to>
                <xdr:col>7</xdr:col>
                <xdr:colOff>704850</xdr:colOff>
                <xdr:row>39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59" name="Button 16">
          <controlPr defaultSize="0" print="0" autoFill="0" autoPict="0" macro="[1]!Award_File_Field_Email">
            <anchor moveWithCells="1" sizeWithCells="1">
              <from>
                <xdr:col>5</xdr:col>
                <xdr:colOff>28575</xdr:colOff>
                <xdr:row>82</xdr:row>
                <xdr:rowOff>0</xdr:rowOff>
              </from>
              <to>
                <xdr:col>5</xdr:col>
                <xdr:colOff>609600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60" name="Button 17">
          <controlPr defaultSize="0" print="0" autoFill="0" autoPict="0" macro="[1]!Individual_Incentive_Award_File">
            <anchor moveWithCells="1" sizeWithCells="1">
              <from>
                <xdr:col>5</xdr:col>
                <xdr:colOff>9525</xdr:colOff>
                <xdr:row>82</xdr:row>
                <xdr:rowOff>0</xdr:rowOff>
              </from>
              <to>
                <xdr:col>5</xdr:col>
                <xdr:colOff>628650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61" name="Button 18">
          <controlPr defaultSize="0" print="0" autoFill="0" autoPict="0" macro="[1]!Run_TS_Goals">
            <anchor moveWithCells="1" sizeWithCells="1">
              <from>
                <xdr:col>5</xdr:col>
                <xdr:colOff>19050</xdr:colOff>
                <xdr:row>40</xdr:row>
                <xdr:rowOff>0</xdr:rowOff>
              </from>
              <to>
                <xdr:col>5</xdr:col>
                <xdr:colOff>619125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62" name="Button 19">
          <controlPr defaultSize="0" print="0" autoFill="0" autoPict="0" macro="[1]!Step_7_Macro">
            <anchor moveWithCells="1" sizeWithCells="1">
              <from>
                <xdr:col>5</xdr:col>
                <xdr:colOff>0</xdr:colOff>
                <xdr:row>45</xdr:row>
                <xdr:rowOff>28575</xdr:rowOff>
              </from>
              <to>
                <xdr:col>5</xdr:col>
                <xdr:colOff>628650</xdr:colOff>
                <xdr:row>47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63" name="Button 20">
          <controlPr defaultSize="0" print="0" autoFill="0" autoPict="0" macro="[1]!Store_Adjustments_Process">
            <anchor moveWithCells="1" sizeWithCells="1">
              <from>
                <xdr:col>5</xdr:col>
                <xdr:colOff>28575</xdr:colOff>
                <xdr:row>40</xdr:row>
                <xdr:rowOff>0</xdr:rowOff>
              </from>
              <to>
                <xdr:col>5</xdr:col>
                <xdr:colOff>619125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64" name="Button 22">
          <controlPr defaultSize="0" print="0" autoFill="0" autoPict="0" macro="[1]!Store_Adjustments_Process">
            <anchor moveWithCells="1" sizeWithCells="1">
              <from>
                <xdr:col>5</xdr:col>
                <xdr:colOff>47625</xdr:colOff>
                <xdr:row>40</xdr:row>
                <xdr:rowOff>0</xdr:rowOff>
              </from>
              <to>
                <xdr:col>5</xdr:col>
                <xdr:colOff>619125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65" name="Check Box 23">
          <controlPr defaultSize="0" autoFill="0" autoLine="0" autoPict="0">
            <anchor moveWithCells="1">
              <from>
                <xdr:col>7</xdr:col>
                <xdr:colOff>19050</xdr:colOff>
                <xdr:row>45</xdr:row>
                <xdr:rowOff>28575</xdr:rowOff>
              </from>
              <to>
                <xdr:col>7</xdr:col>
                <xdr:colOff>942975</xdr:colOff>
                <xdr:row>47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66" name="Check Box 24">
          <controlPr defaultSize="0" autoFill="0" autoLine="0" autoPict="0">
            <anchor moveWithCells="1">
              <from>
                <xdr:col>7</xdr:col>
                <xdr:colOff>9525</xdr:colOff>
                <xdr:row>50</xdr:row>
                <xdr:rowOff>57150</xdr:rowOff>
              </from>
              <to>
                <xdr:col>7</xdr:col>
                <xdr:colOff>895350</xdr:colOff>
                <xdr:row>51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67" name="Check Box 25">
          <controlPr defaultSize="0" autoFill="0" autoLine="0" autoPict="0">
            <anchor moveWithCells="1">
              <from>
                <xdr:col>7</xdr:col>
                <xdr:colOff>9525</xdr:colOff>
                <xdr:row>52</xdr:row>
                <xdr:rowOff>57150</xdr:rowOff>
              </from>
              <to>
                <xdr:col>7</xdr:col>
                <xdr:colOff>895350</xdr:colOff>
                <xdr:row>60</xdr:row>
                <xdr:rowOff>276225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[1]Sheet2!#REF!</xm:f>
          </x14:formula1>
          <xm:sqref>J1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Sheet1</vt:lpstr>
      <vt:lpstr>Sheet2</vt:lpstr>
      <vt:lpstr>Sheet3</vt:lpstr>
      <vt:lpstr>Sheet1 (2)</vt:lpstr>
      <vt:lpstr>FiscalMonth</vt:lpstr>
      <vt:lpstr>'Sheet1 (2)'!FY_2</vt:lpstr>
      <vt:lpstr>FY_2</vt:lpstr>
      <vt:lpstr>'Sheet1 (2)'!Mon_Abb</vt:lpstr>
      <vt:lpstr>Mon_Abb</vt:lpstr>
      <vt:lpstr>'Sheet1 (2)'!Mon_Name</vt:lpstr>
      <vt:lpstr>Mon_Name</vt:lpstr>
      <vt:lpstr>'Sheet1 (2)'!Per_ID</vt:lpstr>
      <vt:lpstr>Per_ID</vt:lpstr>
      <vt:lpstr>Sheet1!Print_Area</vt:lpstr>
      <vt:lpstr>'Sheet1 (2)'!Print_Area</vt:lpstr>
      <vt:lpstr>Sheet1!Print_Titles</vt:lpstr>
      <vt:lpstr>'Sheet1 (2)'!Print_Titles</vt:lpstr>
      <vt:lpstr>'Sheet1 (2)'!Step_6_To</vt:lpstr>
      <vt:lpstr>Step_6_To</vt:lpstr>
      <vt:lpstr>'Sheet1 (2)'!Year_Num</vt:lpstr>
      <vt:lpstr>Year_Num</vt:lpstr>
    </vt:vector>
  </TitlesOfParts>
  <Manager>rpullman@coach.com</Manager>
  <Company>Coach,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Retail Admin Teamshare Award File</dc:title>
  <dc:subject>NA Bonus Program</dc:subject>
  <dc:creator>Richard Pullman (IC)</dc:creator>
  <cp:keywords>Harambe was not hurt in the making of this document</cp:keywords>
  <dc:description>Created by Richard Ian Pullman, Systems Developer. Rpullman@stern.nyu.edu</dc:description>
  <cp:lastModifiedBy>Richard Pullman</cp:lastModifiedBy>
  <cp:lastPrinted>2016-03-31T16:44:36Z</cp:lastPrinted>
  <dcterms:created xsi:type="dcterms:W3CDTF">2016-02-29T13:49:11Z</dcterms:created>
  <dcterms:modified xsi:type="dcterms:W3CDTF">2016-09-20T19:34:20Z</dcterms:modified>
</cp:coreProperties>
</file>